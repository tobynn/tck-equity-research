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64af7c959347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d933fce61934820"/>
    <x:sheet xmlns:r="http://schemas.openxmlformats.org/officeDocument/2006/relationships" name="Actuals Sources" sheetId="2" r:id="Rf1d3bc353abd43b3"/>
    <x:sheet xmlns:r="http://schemas.openxmlformats.org/officeDocument/2006/relationships" name="Inputs" sheetId="3" r:id="Ra526a6d6f64e4dbe"/>
    <x:sheet xmlns:r="http://schemas.openxmlformats.org/officeDocument/2006/relationships" name="Forecast" sheetId="4" r:id="Re2a4ff56bc40412a"/>
    <x:sheet xmlns:r="http://schemas.openxmlformats.org/officeDocument/2006/relationships" name="Cash Equity Bridge" sheetId="5" r:id="R73ae92ab1bda4da3"/>
    <x:sheet xmlns:r="http://schemas.openxmlformats.org/officeDocument/2006/relationships" name="DCF" sheetId="6" r:id="R7823cadb6b8f4f17"/>
    <x:sheet xmlns:r="http://schemas.openxmlformats.org/officeDocument/2006/relationships" name="RIM" sheetId="7" r:id="R035de944b5074fb5"/>
    <x:sheet xmlns:r="http://schemas.openxmlformats.org/officeDocument/2006/relationships" name="PER" sheetId="8" r:id="Re3ef5dac72464de3"/>
    <x:sheet xmlns:r="http://schemas.openxmlformats.org/officeDocument/2006/relationships" name="Diagnostics" sheetId="9" r:id="Rbebbc3c5ba254bee"/>
    <x:sheet xmlns:r="http://schemas.openxmlformats.org/officeDocument/2006/relationships" name="Special Cases" sheetId="10" r:id="Rdf868931844247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.0;(#,##0.0);&quot;-&quot;"/>
    <x:numFmt numFmtId="201" formatCode="0.0%"/>
    <x:numFmt numFmtId="202" formatCode="0.000000"/>
    <x:numFmt numFmtId="203" formatCode="#,##0"/>
  </x:numFmts>
  <x:fonts count="7">
    <x:font>
      <x:sz val="11"/>
      <x:name val="Carlito"/>
    </x:font>
    <x:font>
      <x:sz val="10"/>
      <x:color rgb="FF1B2535"/>
      <x:name val="NanumGothic"/>
    </x:font>
    <x:font>
      <x:b/>
      <x:sz val="15"/>
      <x:color rgb="FF755321"/>
      <x:name val="NanumGothic"/>
    </x:font>
    <x:font>
      <x:sz val="10"/>
      <x:color rgb="FF127443"/>
      <x:name val="NanumGothic"/>
    </x:font>
    <x:font>
      <x:sz val="10"/>
      <x:color rgb="FF174FA8"/>
      <x:name val="NanumGothic"/>
    </x:font>
    <x:font>
      <x:b/>
      <x:sz val="14"/>
      <x:color rgb="FF1B2535"/>
      <x:name val="NanumGothic"/>
    </x:font>
    <x:font>
      <x:b/>
      <x:sz val="10"/>
      <x:color rgb="FFFFFFFF"/>
      <x:name val="NanumGothic"/>
    </x:font>
  </x:fonts>
  <x:fills count="3">
    <x:fill>
      <x:patternFill patternType="none"/>
    </x:fill>
    <x:fill>
      <x:patternFill patternType="gray125"/>
    </x:fill>
    <x:fill>
      <x:patternFill patternType="solid">
        <x:fgColor rgb="FF755321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1" fontId="4" fillId="0" borderId="0" xfId="0" applyNumberFormat="1" applyFont="1" applyFill="1" applyBorder="1"/>
    <x:xf numFmtId="200" fontId="4" fillId="0" borderId="0" xfId="0" applyNumberFormat="1" applyFont="1" applyFill="1" applyBorder="1"/>
    <x:xf numFmtId="202" fontId="4" fillId="0" borderId="0" xfId="0" applyNumberFormat="1" applyFont="1" applyFill="1" applyBorder="1"/>
    <x:xf numFmtId="200" fontId="3" fillId="0" borderId="0" xfId="0" applyNumberFormat="1" applyFont="1" applyFill="1" applyBorder="1"/>
    <x:xf numFmtId="202" fontId="3" fillId="0" borderId="0" xfId="0" applyNumberFormat="1" applyFont="1" applyFill="1" applyBorder="1"/>
    <x:xf numFmtId="201" fontId="3" fillId="0" borderId="0" xfId="0" applyNumberFormat="1" applyFont="1" applyFill="1" applyBorder="1"/>
    <x:xf numFmtId="203" fontId="3" fillId="0" borderId="0" xfId="0" applyNumberFormat="1" applyFont="1" applyFill="1" applyBorder="1"/>
    <x:xf numFmtId="203" fontId="5" fillId="0" borderId="0" xfId="0" applyNumberFormat="1" applyFont="1" applyFill="1" applyBorder="1"/>
    <x:xf numFmtId="0" fontId="1" fillId="2" borderId="0" xfId="0" applyNumberFormat="1" applyFont="1" applyFill="1" applyBorder="1"/>
    <x:xf numFmtId="200" fontId="1" fillId="2" borderId="0" xfId="0" applyNumberFormat="1" applyFont="1" applyFill="1" applyBorder="1"/>
    <x:xf numFmtId="0" fontId="6" fillId="2" borderId="0" xfId="0" applyNumberFormat="1" applyFont="1" applyFill="1" applyBorder="1"/>
    <x:xf numFmtId="20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wrapText="1"/>
    </x:xf>
    <x:xf numFmtId="200" fontId="6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972d6e75ec44e9" /><Relationship Type="http://schemas.openxmlformats.org/officeDocument/2006/relationships/theme" Target="/xl/theme/theme1.xml" Id="R4d8a911a1b7f44f0" /><Relationship Type="http://schemas.openxmlformats.org/officeDocument/2006/relationships/sharedStrings" Target="/xl/sharedStrings.xml" Id="Rab4a5728131142ab" /><Relationship Type="http://schemas.openxmlformats.org/officeDocument/2006/relationships/worksheet" Target="/xl/worksheets/sheet1.xml" Id="R4d933fce61934820" /><Relationship Type="http://schemas.openxmlformats.org/officeDocument/2006/relationships/worksheet" Target="/xl/worksheets/sheet2.xml" Id="Rf1d3bc353abd43b3" /><Relationship Type="http://schemas.openxmlformats.org/officeDocument/2006/relationships/worksheet" Target="/xl/worksheets/sheet3.xml" Id="Ra526a6d6f64e4dbe" /><Relationship Type="http://schemas.openxmlformats.org/officeDocument/2006/relationships/worksheet" Target="/xl/worksheets/sheet4.xml" Id="Re2a4ff56bc40412a" /><Relationship Type="http://schemas.openxmlformats.org/officeDocument/2006/relationships/worksheet" Target="/xl/worksheets/sheet5.xml" Id="R73ae92ab1bda4da3" /><Relationship Type="http://schemas.openxmlformats.org/officeDocument/2006/relationships/worksheet" Target="/xl/worksheets/sheet6.xml" Id="R7823cadb6b8f4f17" /><Relationship Type="http://schemas.openxmlformats.org/officeDocument/2006/relationships/worksheet" Target="/xl/worksheets/sheet7.xml" Id="R035de944b5074fb5" /><Relationship Type="http://schemas.openxmlformats.org/officeDocument/2006/relationships/worksheet" Target="/xl/worksheets/sheet8.xml" Id="Re3ef5dac72464de3" /><Relationship Type="http://schemas.openxmlformats.org/officeDocument/2006/relationships/worksheet" Target="/xl/worksheets/sheet9.xml" Id="Rbebbc3c5ba254bee" /><Relationship Type="http://schemas.openxmlformats.org/officeDocument/2006/relationships/worksheet" Target="/xl/worksheets/sheet10.xml" Id="Rdf8689318442471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755321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33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26" hidden="0" customWidth="1"/>
    <x:col min="11" max="11" width="26" hidden="0" customWidth="1"/>
    <x:col min="12" max="12" width="26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2" customHeight="1">
      <x:c r="A2" s="1"/>
      <x:c r="B2" s="1"/>
      <x:c r="C2" s="2" t="str">
        <x:v>티씨케이 Equity Research</x:v>
      </x:c>
      <x:c r="D2" s="2"/>
      <x:c r="E2" s="2"/>
      <x:c r="F2" s="2"/>
      <x:c r="G2" s="2"/>
      <x:c r="H2" s="2"/>
      <x:c r="I2" s="2"/>
      <x:c r="J2" s="1"/>
      <x:c r="K2" s="1"/>
      <x:c r="L2" s="1"/>
    </x:row>
    <x:row r="3" ht="22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22" customHeight="1">
      <x:c r="A4" s="1"/>
      <x:c r="B4" s="1"/>
      <x:c r="C4" s="1" t="str">
        <x:v>Case selected</x:v>
      </x:c>
      <x:c r="D4" s="3" t="str">
        <x:f>Inputs!D3</x:f>
        <x:v>Base</x:v>
      </x:c>
      <x:c r="E4" s="1"/>
      <x:c r="F4" s="1"/>
      <x:c r="G4" s="1"/>
      <x:c r="H4" s="1"/>
      <x:c r="I4" s="1"/>
      <x:c r="J4" s="1"/>
      <x:c r="K4" s="1"/>
      <x:c r="L4" s="1"/>
    </x:row>
    <x:row r="5" ht="22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 ht="22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</x:row>
    <x:row r="7" ht="27" customHeight="1">
      <x:c r="A7" s="1"/>
      <x:c r="B7" s="1"/>
      <x:c r="C7" s="18" t="str">
        <x:v>Method</x:v>
      </x:c>
      <x:c r="D7" s="18" t="str">
        <x:v>KRW / share</x:v>
      </x:c>
      <x:c r="E7" s="18" t="str">
        <x:v>Role</x:v>
      </x:c>
      <x:c r="F7" s="1"/>
      <x:c r="G7" s="1"/>
      <x:c r="H7" s="1"/>
      <x:c r="I7" s="1"/>
      <x:c r="J7" s="1"/>
      <x:c r="K7" s="1"/>
      <x:c r="L7" s="1"/>
    </x:row>
    <x:row r="8" ht="22" customHeight="1">
      <x:c r="A8" s="1"/>
      <x:c r="B8" s="1"/>
      <x:c r="C8" s="1" t="str">
        <x:v>DCF</x:v>
      </x:c>
      <x:c r="D8" s="13" t="n">
        <x:f>DCF!D26</x:f>
        <x:v>139146.21859694723</x:v>
      </x:c>
      <x:c r="E8" s="4" t="str">
        <x:v>2026 year-end scenario</x:v>
      </x:c>
      <x:c r="F8" s="4"/>
      <x:c r="G8" s="4"/>
      <x:c r="H8" s="4"/>
      <x:c r="I8" s="4"/>
      <x:c r="J8" s="1"/>
      <x:c r="K8" s="1"/>
      <x:c r="L8" s="1"/>
    </x:row>
    <x:row r="9" ht="22" customHeight="1">
      <x:c r="A9" s="1"/>
      <x:c r="B9" s="1"/>
      <x:c r="C9" s="1" t="str">
        <x:v>Normalized PER</x:v>
      </x:c>
      <x:c r="D9" s="13" t="n">
        <x:f>PER!D39</x:f>
        <x:v>100545.8679444465</x:v>
      </x:c>
      <x:c r="E9" s="4" t="str">
        <x:v>Fundamental multiple</x:v>
      </x:c>
      <x:c r="F9" s="4"/>
      <x:c r="G9" s="4"/>
      <x:c r="H9" s="4"/>
      <x:c r="I9" s="4"/>
      <x:c r="J9" s="1"/>
      <x:c r="K9" s="1"/>
      <x:c r="L9" s="1"/>
    </x:row>
    <x:row r="10" ht="22" customHeight="1">
      <x:c r="A10" s="1"/>
      <x:c r="B10" s="1"/>
      <x:c r="C10" s="1" t="str">
        <x:v>RIM</x:v>
      </x:c>
      <x:c r="D10" s="13" t="n">
        <x:f>RIM!D24</x:f>
        <x:v>84741.37451524666</x:v>
      </x:c>
      <x:c r="E10" s="4" t="str">
        <x:v>Excess return duration</x:v>
      </x:c>
      <x:c r="F10" s="4"/>
      <x:c r="G10" s="4"/>
      <x:c r="H10" s="4"/>
      <x:c r="I10" s="4"/>
      <x:c r="J10" s="1"/>
      <x:c r="K10" s="1"/>
      <x:c r="L10" s="1"/>
    </x:row>
    <x:row r="11" ht="22" customHeight="1">
      <x:c r="A11" s="1"/>
      <x:c r="B11" s="1"/>
      <x:c r="C11" s="1"/>
      <x:c r="D11" s="4"/>
      <x:c r="E11" s="4"/>
      <x:c r="F11" s="4"/>
      <x:c r="G11" s="4"/>
      <x:c r="H11" s="4"/>
      <x:c r="I11" s="4"/>
      <x:c r="J11" s="1"/>
      <x:c r="K11" s="1"/>
      <x:c r="L11" s="1"/>
    </x:row>
    <x:row r="12" ht="22" customHeight="1">
      <x:c r="A12" s="1"/>
      <x:c r="B12" s="1"/>
      <x:c r="C12" s="1"/>
      <x:c r="D12" s="4"/>
      <x:c r="E12" s="4"/>
      <x:c r="F12" s="4"/>
      <x:c r="G12" s="4"/>
      <x:c r="H12" s="4"/>
      <x:c r="I12" s="4"/>
      <x:c r="J12" s="1"/>
      <x:c r="K12" s="1"/>
      <x:c r="L12" s="1"/>
    </x:row>
    <x:row r="13" ht="22" customHeight="1">
      <x:c r="A13" s="1"/>
      <x:c r="B13" s="1"/>
      <x:c r="C13" s="1" t="str">
        <x:v>Valuation date</x:v>
      </x:c>
      <x:c r="D13" s="4" t="str">
        <x:v>2026-12-31E</x:v>
      </x:c>
      <x:c r="E13" s="4"/>
      <x:c r="F13" s="4"/>
      <x:c r="G13" s="4"/>
      <x:c r="H13" s="4"/>
      <x:c r="I13" s="4"/>
      <x:c r="J13" s="1"/>
      <x:c r="K13" s="1"/>
      <x:c r="L13" s="1"/>
    </x:row>
    <x:row r="14" ht="22" customHeight="1">
      <x:c r="A14" s="1"/>
      <x:c r="B14" s="1"/>
      <x:c r="C14" s="1" t="str">
        <x:v>Financial statements</x:v>
      </x:c>
      <x:c r="D14" s="4" t="str">
        <x:v>2026-06-30A</x:v>
      </x:c>
      <x:c r="E14" s="4"/>
      <x:c r="F14" s="4"/>
      <x:c r="G14" s="4"/>
      <x:c r="H14" s="4"/>
      <x:c r="I14" s="4"/>
      <x:c r="J14" s="1"/>
      <x:c r="K14" s="1"/>
      <x:c r="L14" s="1"/>
    </x:row>
    <x:row r="15" ht="22" customHeight="1">
      <x:c r="A15" s="1"/>
      <x:c r="B15" s="1"/>
      <x:c r="C15" s="1" t="str">
        <x:v>Report version</x:v>
      </x:c>
      <x:c r="D15" s="4" t="str">
        <x:v>2026-10-18 v3</x:v>
      </x:c>
      <x:c r="E15" s="4"/>
      <x:c r="F15" s="4"/>
      <x:c r="G15" s="4"/>
      <x:c r="H15" s="4"/>
      <x:c r="I15" s="4"/>
      <x:c r="J15" s="1"/>
      <x:c r="K15" s="1"/>
      <x:c r="L15" s="1"/>
    </x:row>
    <x:row r="16" ht="22" customHeight="1">
      <x:c r="A16" s="1"/>
      <x:c r="B16" s="1"/>
      <x:c r="C16" s="1" t="str">
        <x:v>Reference price date</x:v>
      </x:c>
      <x:c r="D16" s="4" t="str">
        <x:v>2026-10-16 NAVER</x:v>
      </x:c>
      <x:c r="E16" s="4"/>
      <x:c r="F16" s="4"/>
      <x:c r="G16" s="4"/>
      <x:c r="H16" s="4"/>
      <x:c r="I16" s="4"/>
      <x:c r="J16" s="1"/>
      <x:c r="K16" s="1"/>
      <x:c r="L16" s="1"/>
    </x:row>
    <x:row r="17" ht="22" customHeight="1">
      <x:c r="A17" s="1"/>
      <x:c r="B17" s="1"/>
      <x:c r="C17" s="1" t="str">
        <x:v>Reference close KRW</x:v>
      </x:c>
      <x:c r="D17" s="9" t="n">
        <x:f>Inputs!$D$25</x:f>
        <x:v>238000</x:v>
      </x:c>
      <x:c r="E17" s="4"/>
      <x:c r="F17" s="4"/>
      <x:c r="G17" s="4"/>
      <x:c r="H17" s="4"/>
      <x:c r="I17" s="4"/>
      <x:c r="J17" s="1"/>
      <x:c r="K17" s="1"/>
      <x:c r="L17" s="1"/>
    </x:row>
    <x:row r="18" ht="22" customHeight="1">
      <x:c r="A18" s="1"/>
      <x:c r="B18" s="1"/>
      <x:c r="C18" s="1" t="str">
        <x:v>DCF / reference close - 1</x:v>
      </x:c>
      <x:c r="D18" s="5" t="n">
        <x:f>D8/D17-1</x:f>
        <x:v>-0.4153520227019024</x:v>
      </x:c>
      <x:c r="E18" s="4"/>
      <x:c r="F18" s="4"/>
      <x:c r="G18" s="4"/>
      <x:c r="H18" s="4"/>
      <x:c r="I18" s="4"/>
      <x:c r="J18" s="1"/>
      <x:c r="K18" s="1"/>
      <x:c r="L18" s="1"/>
    </x:row>
    <x:row r="19" ht="22" customHeight="1">
      <x:c r="A19" s="1"/>
      <x:c r="B19" s="1"/>
      <x:c r="C19" s="1" t="str">
        <x:v>RIM / DDM difference</x:v>
      </x:c>
      <x:c r="D19" s="9" t="n">
        <x:f>RIM!D25</x:f>
        <x:v>-1.1368683772161603e-13</x:v>
      </x:c>
      <x:c r="E19" s="4"/>
      <x:c r="F19" s="4"/>
      <x:c r="G19" s="4"/>
      <x:c r="H19" s="4"/>
      <x:c r="I19" s="4"/>
      <x:c r="J19" s="1"/>
      <x:c r="K19" s="1"/>
      <x:c r="L19" s="1"/>
    </x:row>
    <x:row r="20" ht="22" customHeight="1">
      <x:c r="A20" s="1"/>
      <x:c r="B20" s="1"/>
      <x:c r="C20" s="1"/>
      <x:c r="D20" s="4"/>
      <x:c r="E20" s="4"/>
      <x:c r="F20" s="4"/>
      <x:c r="G20" s="4"/>
      <x:c r="H20" s="4"/>
      <x:c r="I20" s="4"/>
      <x:c r="J20" s="1"/>
      <x:c r="K20" s="1"/>
      <x:c r="L20" s="1"/>
    </x:row>
    <x:row r="21" ht="22" customHeight="1">
      <x:c r="A21" s="1"/>
      <x:c r="B21" s="1"/>
      <x:c r="C21" s="1" t="str">
        <x:v>All forecast inputs are editable in Inputs.</x:v>
      </x:c>
      <x:c r="D21" s="4"/>
      <x:c r="E21" s="4"/>
      <x:c r="F21" s="4"/>
      <x:c r="G21" s="4"/>
      <x:c r="H21" s="4"/>
      <x:c r="I21" s="4"/>
      <x:c r="J21" s="1"/>
      <x:c r="K21" s="1"/>
      <x:c r="L21" s="1"/>
    </x:row>
    <x:row r="22" ht="22" customHeight="1">
      <x:c r="A22" s="1"/>
      <x:c r="B22" s="1"/>
      <x:c r="C22" s="1"/>
      <x:c r="D22" s="4"/>
      <x:c r="E22" s="4"/>
      <x:c r="F22" s="4"/>
      <x:c r="G22" s="4"/>
      <x:c r="H22" s="4"/>
      <x:c r="I22" s="4"/>
      <x:c r="J22" s="1"/>
      <x:c r="K22" s="1"/>
      <x:c r="L22" s="1"/>
    </x:row>
    <x:row r="23" ht="22" customHeight="1">
      <x:c r="A23" s="1"/>
      <x:c r="B23" s="1"/>
      <x:c r="C23" s="1" t="str">
        <x:v>KRW bn. Share count is in millions.</x:v>
      </x:c>
      <x:c r="D23" s="4"/>
      <x:c r="E23" s="4"/>
      <x:c r="F23" s="4"/>
      <x:c r="G23" s="4"/>
      <x:c r="H23" s="4"/>
      <x:c r="I23" s="4"/>
      <x:c r="J23" s="1"/>
      <x:c r="K23" s="1"/>
      <x:c r="L23" s="1"/>
    </x:row>
    <x:row r="24" ht="22" customHeight="1">
      <x:c r="A24" s="1"/>
      <x:c r="B24" s="1"/>
      <x:c r="C24" s="1"/>
      <x:c r="D24" s="4"/>
      <x:c r="E24" s="4"/>
      <x:c r="F24" s="4"/>
      <x:c r="G24" s="4"/>
      <x:c r="H24" s="4"/>
      <x:c r="I24" s="4"/>
      <x:c r="J24" s="1"/>
      <x:c r="K24" s="1"/>
      <x:c r="L24" s="1"/>
    </x:row>
    <x:row r="25" ht="22" customHeight="1">
      <x:c r="A25" s="1"/>
      <x:c r="B25" s="1"/>
      <x:c r="C25" s="1" t="str">
        <x:v>Naver reference price; exchange close not reconciled.</x:v>
      </x:c>
      <x:c r="D25" s="4"/>
      <x:c r="E25" s="4"/>
      <x:c r="F25" s="4"/>
      <x:c r="G25" s="4"/>
      <x:c r="H25" s="4"/>
      <x:c r="I25" s="4"/>
      <x:c r="J25" s="1"/>
      <x:c r="K25" s="1"/>
      <x:c r="L25" s="1"/>
    </x:row>
    <x:row r="26" ht="22" customHeight="1">
      <x:c r="A26" s="1"/>
      <x:c r="B26" s="1"/>
      <x:c r="C26" s="1"/>
      <x:c r="D26" s="4"/>
      <x:c r="E26" s="4"/>
      <x:c r="F26" s="4"/>
      <x:c r="G26" s="4"/>
      <x:c r="H26" s="4"/>
      <x:c r="I26" s="4"/>
      <x:c r="J26" s="1"/>
      <x:c r="K26" s="1"/>
      <x:c r="L26" s="1"/>
    </x:row>
    <x:row r="27" ht="22" customHeight="1">
      <x:c r="A27" s="1"/>
      <x:c r="B27" s="1"/>
      <x:c r="C27" s="1"/>
      <x:c r="D27" s="4"/>
      <x:c r="E27" s="4"/>
      <x:c r="F27" s="4"/>
      <x:c r="G27" s="4"/>
      <x:c r="H27" s="4"/>
      <x:c r="I27" s="4"/>
      <x:c r="J27" s="1"/>
      <x:c r="K27" s="1"/>
      <x:c r="L27" s="1"/>
    </x:row>
    <x:row r="28" ht="22" customHeight="1">
      <x:c r="A28" s="1"/>
      <x:c r="B28" s="1"/>
      <x:c r="C28" s="1"/>
      <x:c r="D28" s="4"/>
      <x:c r="E28" s="4"/>
      <x:c r="F28" s="4"/>
      <x:c r="G28" s="4"/>
      <x:c r="H28" s="4"/>
      <x:c r="I28" s="4"/>
      <x:c r="J28" s="1"/>
      <x:c r="K28" s="1"/>
      <x:c r="L28" s="1"/>
    </x:row>
    <x:row r="29" ht="22" customHeight="1">
      <x:c r="A29" s="1"/>
      <x:c r="B29" s="1"/>
      <x:c r="C29" s="1"/>
      <x:c r="D29" s="4"/>
      <x:c r="E29" s="4"/>
      <x:c r="F29" s="4"/>
      <x:c r="G29" s="4"/>
      <x:c r="H29" s="4"/>
      <x:c r="I29" s="4"/>
      <x:c r="J29" s="1"/>
      <x:c r="K29" s="1"/>
      <x:c r="L29" s="1"/>
    </x:row>
    <x:row r="30" ht="22" customHeight="1">
      <x:c r="A30" s="1"/>
      <x:c r="B30" s="1"/>
      <x:c r="C30" s="1"/>
      <x:c r="D30" s="4"/>
      <x:c r="E30" s="4"/>
      <x:c r="F30" s="4"/>
      <x:c r="G30" s="4"/>
      <x:c r="H30" s="4"/>
      <x:c r="I30" s="4"/>
      <x:c r="J30" s="1"/>
      <x:c r="K30" s="1"/>
      <x:c r="L30" s="1"/>
    </x:row>
    <x:row r="31" ht="22" customHeight="1">
      <x:c r="A31" s="1"/>
      <x:c r="B31" s="1"/>
      <x:c r="C31" s="1"/>
      <x:c r="D31" s="4"/>
      <x:c r="E31" s="4"/>
      <x:c r="F31" s="4"/>
      <x:c r="G31" s="4"/>
      <x:c r="H31" s="4"/>
      <x:c r="I31" s="4"/>
      <x:c r="J31" s="1"/>
      <x:c r="K31" s="1"/>
      <x:c r="L31" s="1"/>
    </x:row>
    <x:row r="32" ht="22" customHeight="1">
      <x:c r="A32" s="1"/>
      <x:c r="B32" s="1"/>
      <x:c r="C32" s="1"/>
      <x:c r="D32" s="4"/>
      <x:c r="E32" s="4"/>
      <x:c r="F32" s="4"/>
      <x:c r="G32" s="4"/>
      <x:c r="H32" s="4"/>
      <x:c r="I32" s="4"/>
      <x:c r="J32" s="1"/>
      <x:c r="K32" s="1"/>
      <x:c r="L32" s="1"/>
    </x:row>
    <x:row r="33" ht="22" customHeight="1">
      <x:c r="A33" s="1"/>
      <x:c r="B33" s="1"/>
      <x:c r="C33" s="1"/>
      <x:c r="D33" s="4"/>
      <x:c r="E33" s="4"/>
      <x:c r="F33" s="4"/>
      <x:c r="G33" s="4"/>
      <x:c r="H33" s="4"/>
      <x:c r="I33" s="4"/>
      <x:c r="J33" s="1"/>
      <x:c r="K33" s="1"/>
      <x:c r="L33" s="1"/>
    </x:row>
    <x:row r="34" ht="22" customHeight="1">
      <x:c r="A34" s="1"/>
      <x:c r="B34" s="1"/>
      <x:c r="C34" s="1"/>
      <x:c r="D34" s="4"/>
      <x:c r="E34" s="4"/>
      <x:c r="F34" s="4"/>
      <x:c r="G34" s="4"/>
      <x:c r="H34" s="4"/>
      <x:c r="I34" s="4"/>
      <x:c r="J34" s="1"/>
      <x:c r="K34" s="1"/>
      <x:c r="L34" s="1"/>
    </x:row>
    <x:row r="35" ht="22" customHeight="1">
      <x:c r="A35" s="1"/>
      <x:c r="B35" s="1"/>
      <x:c r="C35" s="1"/>
      <x:c r="D35" s="4"/>
      <x:c r="E35" s="4"/>
      <x:c r="F35" s="4"/>
      <x:c r="G35" s="4"/>
      <x:c r="H35" s="4"/>
      <x:c r="I35" s="4"/>
      <x:c r="J35" s="1"/>
      <x:c r="K35" s="1"/>
      <x:c r="L35" s="1"/>
    </x:row>
    <x:row r="36" ht="22" customHeight="1">
      <x:c r="A36" s="1"/>
      <x:c r="B36" s="1"/>
      <x:c r="C36" s="1"/>
      <x:c r="D36" s="4"/>
      <x:c r="E36" s="4"/>
      <x:c r="F36" s="4"/>
      <x:c r="G36" s="4"/>
      <x:c r="H36" s="4"/>
      <x:c r="I36" s="4"/>
      <x:c r="J36" s="1"/>
      <x:c r="K36" s="1"/>
      <x:c r="L36" s="1"/>
    </x:row>
    <x:row r="37" ht="22" customHeight="1">
      <x:c r="A37" s="1"/>
      <x:c r="B37" s="1"/>
      <x:c r="C37" s="1"/>
      <x:c r="D37" s="4"/>
      <x:c r="E37" s="4"/>
      <x:c r="F37" s="4"/>
      <x:c r="G37" s="4"/>
      <x:c r="H37" s="4"/>
      <x:c r="I37" s="4"/>
      <x:c r="J37" s="1"/>
      <x:c r="K37" s="1"/>
      <x:c r="L37" s="1"/>
    </x:row>
    <x:row r="38" ht="22" customHeight="1">
      <x:c r="A38" s="1"/>
      <x:c r="B38" s="1"/>
      <x:c r="C38" s="1"/>
      <x:c r="D38" s="4"/>
      <x:c r="E38" s="4"/>
      <x:c r="F38" s="4"/>
      <x:c r="G38" s="4"/>
      <x:c r="H38" s="4"/>
      <x:c r="I38" s="4"/>
      <x:c r="J38" s="1"/>
      <x:c r="K38" s="1"/>
      <x:c r="L38" s="1"/>
    </x:row>
    <x:row r="39" ht="22" customHeight="1">
      <x:c r="A39" s="1"/>
      <x:c r="B39" s="1"/>
      <x:c r="C39" s="1"/>
      <x:c r="D39" s="4"/>
      <x:c r="E39" s="4"/>
      <x:c r="F39" s="4"/>
      <x:c r="G39" s="4"/>
      <x:c r="H39" s="4"/>
      <x:c r="I39" s="4"/>
      <x:c r="J39" s="1"/>
      <x:c r="K39" s="1"/>
      <x:c r="L39" s="1"/>
    </x:row>
    <x:row r="40" ht="22" customHeight="1">
      <x:c r="A40" s="1"/>
      <x:c r="B40" s="1"/>
      <x:c r="C40" s="1"/>
      <x:c r="D40" s="4"/>
      <x:c r="E40" s="4"/>
      <x:c r="F40" s="4"/>
      <x:c r="G40" s="4"/>
      <x:c r="H40" s="4"/>
      <x:c r="I40" s="4"/>
      <x:c r="J40" s="1"/>
      <x:c r="K40" s="1"/>
      <x:c r="L40" s="1"/>
    </x:row>
    <x:row r="41" ht="22" customHeight="1">
      <x:c r="A41" s="1"/>
      <x:c r="B41" s="1"/>
      <x:c r="C41" s="1"/>
      <x:c r="D41" s="4"/>
      <x:c r="E41" s="4"/>
      <x:c r="F41" s="4"/>
      <x:c r="G41" s="4"/>
      <x:c r="H41" s="4"/>
      <x:c r="I41" s="4"/>
      <x:c r="J41" s="1"/>
      <x:c r="K41" s="1"/>
      <x:c r="L41" s="1"/>
    </x:row>
    <x:row r="42" ht="22" customHeight="1">
      <x:c r="A42" s="1"/>
      <x:c r="B42" s="1"/>
      <x:c r="C42" s="1"/>
      <x:c r="D42" s="4"/>
      <x:c r="E42" s="4"/>
      <x:c r="F42" s="4"/>
      <x:c r="G42" s="4"/>
      <x:c r="H42" s="4"/>
      <x:c r="I42" s="4"/>
      <x:c r="J42" s="1"/>
      <x:c r="K42" s="1"/>
      <x:c r="L42" s="1"/>
    </x:row>
    <x:row r="43" ht="22" customHeight="1">
      <x:c r="A43" s="1"/>
      <x:c r="B43" s="1"/>
      <x:c r="C43" s="1"/>
      <x:c r="D43" s="4"/>
      <x:c r="E43" s="4"/>
      <x:c r="F43" s="4"/>
      <x:c r="G43" s="4"/>
      <x:c r="H43" s="4"/>
      <x:c r="I43" s="4"/>
      <x:c r="J43" s="1"/>
      <x:c r="K43" s="1"/>
      <x:c r="L43" s="1"/>
    </x:row>
    <x:row r="44" ht="22" customHeight="1">
      <x:c r="A44" s="1"/>
      <x:c r="B44" s="1"/>
      <x:c r="C44" s="1"/>
      <x:c r="D44" s="4"/>
      <x:c r="E44" s="4"/>
      <x:c r="F44" s="4"/>
      <x:c r="G44" s="4"/>
      <x:c r="H44" s="4"/>
      <x:c r="I44" s="4"/>
      <x:c r="J44" s="1"/>
      <x:c r="K44" s="1"/>
      <x:c r="L44" s="1"/>
    </x:row>
    <x:row r="45" ht="22" customHeight="1">
      <x:c r="A45" s="1"/>
      <x:c r="B45" s="1"/>
      <x:c r="C45" s="1"/>
      <x:c r="D45" s="4"/>
      <x:c r="E45" s="4"/>
      <x:c r="F45" s="4"/>
      <x:c r="G45" s="4"/>
      <x:c r="H45" s="4"/>
      <x:c r="I45" s="4"/>
      <x:c r="J45" s="1"/>
      <x:c r="K45" s="1"/>
      <x:c r="L45" s="1"/>
    </x:row>
    <x:row r="46" ht="22" customHeight="1">
      <x:c r="A46" s="1"/>
      <x:c r="B46" s="1"/>
      <x:c r="C46" s="1"/>
      <x:c r="D46" s="4"/>
      <x:c r="E46" s="4"/>
      <x:c r="F46" s="4"/>
      <x:c r="G46" s="4"/>
      <x:c r="H46" s="4"/>
      <x:c r="I46" s="4"/>
      <x:c r="J46" s="1"/>
      <x:c r="K46" s="1"/>
      <x:c r="L46" s="1"/>
    </x:row>
    <x:row r="47" ht="22" customHeight="1">
      <x:c r="A47" s="1"/>
      <x:c r="B47" s="1"/>
      <x:c r="C47" s="1"/>
      <x:c r="D47" s="4"/>
      <x:c r="E47" s="4"/>
      <x:c r="F47" s="4"/>
      <x:c r="G47" s="4"/>
      <x:c r="H47" s="4"/>
      <x:c r="I47" s="4"/>
      <x:c r="J47" s="1"/>
      <x:c r="K47" s="1"/>
      <x:c r="L47" s="1"/>
    </x:row>
    <x:row r="48" ht="22" customHeight="1">
      <x:c r="A48" s="1"/>
      <x:c r="B48" s="1"/>
      <x:c r="C48" s="1"/>
      <x:c r="D48" s="4"/>
      <x:c r="E48" s="4"/>
      <x:c r="F48" s="4"/>
      <x:c r="G48" s="4"/>
      <x:c r="H48" s="4"/>
      <x:c r="I48" s="4"/>
      <x:c r="J48" s="1"/>
      <x:c r="K48" s="1"/>
      <x:c r="L48" s="1"/>
    </x:row>
    <x:row r="49" ht="22" customHeight="1">
      <x:c r="A49" s="1"/>
      <x:c r="B49" s="1"/>
      <x:c r="C49" s="1"/>
      <x:c r="D49" s="4"/>
      <x:c r="E49" s="4"/>
      <x:c r="F49" s="4"/>
      <x:c r="G49" s="4"/>
      <x:c r="H49" s="4"/>
      <x:c r="I49" s="4"/>
      <x:c r="J49" s="1"/>
      <x:c r="K49" s="1"/>
      <x:c r="L49" s="1"/>
    </x:row>
    <x:row r="50" ht="22" customHeight="1">
      <x:c r="A50" s="1"/>
      <x:c r="B50" s="1"/>
      <x:c r="C50" s="1"/>
      <x:c r="D50" s="4"/>
      <x:c r="E50" s="4"/>
      <x:c r="F50" s="4"/>
      <x:c r="G50" s="4"/>
      <x:c r="H50" s="4"/>
      <x:c r="I50" s="4"/>
      <x:c r="J50" s="1"/>
      <x:c r="K50" s="1"/>
      <x:c r="L50" s="1"/>
    </x:row>
    <x:row r="51" ht="22" customHeight="1">
      <x:c r="A51" s="1"/>
      <x:c r="B51" s="1"/>
      <x:c r="C51" s="1"/>
      <x:c r="D51" s="4"/>
      <x:c r="E51" s="4"/>
      <x:c r="F51" s="4"/>
      <x:c r="G51" s="4"/>
      <x:c r="H51" s="4"/>
      <x:c r="I51" s="4"/>
      <x:c r="J51" s="1"/>
      <x:c r="K51" s="1"/>
      <x:c r="L51" s="1"/>
    </x:row>
    <x:row r="52" ht="22" customHeight="1">
      <x:c r="A52" s="1"/>
      <x:c r="B52" s="1"/>
      <x:c r="C52" s="1"/>
      <x:c r="D52" s="4"/>
      <x:c r="E52" s="4"/>
      <x:c r="F52" s="4"/>
      <x:c r="G52" s="4"/>
      <x:c r="H52" s="4"/>
      <x:c r="I52" s="4"/>
      <x:c r="J52" s="1"/>
      <x:c r="K52" s="1"/>
      <x:c r="L52" s="1"/>
    </x:row>
    <x:row r="53" ht="22" customHeight="1">
      <x:c r="A53" s="1"/>
      <x:c r="B53" s="1"/>
      <x:c r="C53" s="1"/>
      <x:c r="D53" s="4"/>
      <x:c r="E53" s="4"/>
      <x:c r="F53" s="4"/>
      <x:c r="G53" s="4"/>
      <x:c r="H53" s="4"/>
      <x:c r="I53" s="4"/>
      <x:c r="J53" s="1"/>
      <x:c r="K53" s="1"/>
      <x:c r="L53" s="1"/>
    </x:row>
    <x:row r="54" ht="22" customHeight="1">
      <x:c r="A54" s="1"/>
      <x:c r="B54" s="1"/>
      <x:c r="C54" s="1"/>
      <x:c r="D54" s="4"/>
      <x:c r="E54" s="4"/>
      <x:c r="F54" s="4"/>
      <x:c r="G54" s="4"/>
      <x:c r="H54" s="4"/>
      <x:c r="I54" s="4"/>
      <x:c r="J54" s="1"/>
      <x:c r="K54" s="1"/>
      <x:c r="L54" s="1"/>
    </x:row>
    <x:row r="55" ht="22" customHeight="1">
      <x:c r="A55" s="1"/>
      <x:c r="B55" s="1"/>
      <x:c r="C55" s="1"/>
      <x:c r="D55" s="4"/>
      <x:c r="E55" s="4"/>
      <x:c r="F55" s="4"/>
      <x:c r="G55" s="4"/>
      <x:c r="H55" s="4"/>
      <x:c r="I55" s="4"/>
      <x:c r="J55" s="1"/>
      <x:c r="K55" s="1"/>
      <x:c r="L55" s="1"/>
    </x:row>
    <x:row r="56" ht="22" customHeight="1">
      <x:c r="A56" s="1"/>
      <x:c r="B56" s="1"/>
      <x:c r="C56" s="1"/>
      <x:c r="D56" s="4"/>
      <x:c r="E56" s="4"/>
      <x:c r="F56" s="4"/>
      <x:c r="G56" s="4"/>
      <x:c r="H56" s="4"/>
      <x:c r="I56" s="4"/>
      <x:c r="J56" s="1"/>
      <x:c r="K56" s="1"/>
      <x:c r="L56" s="1"/>
    </x:row>
    <x:row r="57" ht="22" customHeight="1">
      <x:c r="A57" s="1"/>
      <x:c r="B57" s="1"/>
      <x:c r="C57" s="1"/>
      <x:c r="D57" s="4"/>
      <x:c r="E57" s="4"/>
      <x:c r="F57" s="4"/>
      <x:c r="G57" s="4"/>
      <x:c r="H57" s="4"/>
      <x:c r="I57" s="4"/>
      <x:c r="J57" s="1"/>
      <x:c r="K57" s="1"/>
      <x:c r="L57" s="1"/>
    </x:row>
    <x:row r="58" ht="22" customHeight="1">
      <x:c r="A58" s="1"/>
      <x:c r="B58" s="1"/>
      <x:c r="C58" s="1"/>
      <x:c r="D58" s="4"/>
      <x:c r="E58" s="4"/>
      <x:c r="F58" s="4"/>
      <x:c r="G58" s="4"/>
      <x:c r="H58" s="4"/>
      <x:c r="I58" s="4"/>
      <x:c r="J58" s="1"/>
      <x:c r="K58" s="1"/>
      <x:c r="L58" s="1"/>
    </x:row>
    <x:row r="59" ht="22" customHeight="1">
      <x:c r="A59" s="1"/>
      <x:c r="B59" s="1"/>
      <x:c r="C59" s="1"/>
      <x:c r="D59" s="4"/>
      <x:c r="E59" s="4"/>
      <x:c r="F59" s="4"/>
      <x:c r="G59" s="4"/>
      <x:c r="H59" s="4"/>
      <x:c r="I59" s="4"/>
      <x:c r="J59" s="1"/>
      <x:c r="K59" s="1"/>
      <x:c r="L59" s="1"/>
    </x:row>
    <x:row r="60" ht="22" customHeight="1">
      <x:c r="A60" s="1"/>
      <x:c r="B60" s="1"/>
      <x:c r="C60" s="1"/>
      <x:c r="D60" s="4"/>
      <x:c r="E60" s="4"/>
      <x:c r="F60" s="4"/>
      <x:c r="G60" s="4"/>
      <x:c r="H60" s="4"/>
      <x:c r="I60" s="4"/>
      <x:c r="J60" s="1"/>
      <x:c r="K60" s="1"/>
      <x:c r="L60" s="1"/>
    </x:row>
    <x:row r="61" ht="22" customHeight="1">
      <x:c r="A61" s="1"/>
      <x:c r="B61" s="1"/>
      <x:c r="C61" s="1"/>
      <x:c r="D61" s="4"/>
      <x:c r="E61" s="4"/>
      <x:c r="F61" s="4"/>
      <x:c r="G61" s="4"/>
      <x:c r="H61" s="4"/>
      <x:c r="I61" s="4"/>
      <x:c r="J61" s="1"/>
      <x:c r="K61" s="1"/>
      <x:c r="L61" s="1"/>
    </x:row>
    <x:row r="62" ht="22" customHeight="1">
      <x:c r="A62" s="1"/>
      <x:c r="B62" s="1"/>
      <x:c r="C62" s="1"/>
      <x:c r="D62" s="4"/>
      <x:c r="E62" s="4"/>
      <x:c r="F62" s="4"/>
      <x:c r="G62" s="4"/>
      <x:c r="H62" s="4"/>
      <x:c r="I62" s="4"/>
      <x:c r="J62" s="1"/>
      <x:c r="K62" s="1"/>
      <x:c r="L62" s="1"/>
    </x:row>
    <x:row r="63" ht="22" customHeight="1">
      <x:c r="A63" s="1"/>
      <x:c r="B63" s="1"/>
      <x:c r="C63" s="1"/>
      <x:c r="D63" s="4"/>
      <x:c r="E63" s="4"/>
      <x:c r="F63" s="4"/>
      <x:c r="G63" s="4"/>
      <x:c r="H63" s="4"/>
      <x:c r="I63" s="4"/>
      <x:c r="J63" s="1"/>
      <x:c r="K63" s="1"/>
      <x:c r="L63" s="1"/>
    </x:row>
    <x:row r="64" ht="22" customHeight="1">
      <x:c r="A64" s="1"/>
      <x:c r="B64" s="1"/>
      <x:c r="C64" s="1"/>
      <x:c r="D64" s="4"/>
      <x:c r="E64" s="4"/>
      <x:c r="F64" s="4"/>
      <x:c r="G64" s="4"/>
      <x:c r="H64" s="4"/>
      <x:c r="I64" s="4"/>
      <x:c r="J64" s="1"/>
      <x:c r="K64" s="1"/>
      <x:c r="L64" s="1"/>
    </x:row>
    <x:row r="65" ht="22" customHeight="1">
      <x:c r="A65" s="1"/>
      <x:c r="B65" s="1"/>
      <x:c r="C65" s="1"/>
      <x:c r="D65" s="4"/>
      <x:c r="E65" s="4"/>
      <x:c r="F65" s="4"/>
      <x:c r="G65" s="4"/>
      <x:c r="H65" s="4"/>
      <x:c r="I65" s="4"/>
      <x:c r="J65" s="1"/>
      <x:c r="K65" s="1"/>
      <x:c r="L65" s="1"/>
    </x:row>
    <x:row r="66" ht="22" customHeight="1">
      <x:c r="A66" s="1"/>
      <x:c r="B66" s="1"/>
      <x:c r="C66" s="1"/>
      <x:c r="D66" s="4"/>
      <x:c r="E66" s="4"/>
      <x:c r="F66" s="4"/>
      <x:c r="G66" s="4"/>
      <x:c r="H66" s="4"/>
      <x:c r="I66" s="4"/>
      <x:c r="J66" s="1"/>
      <x:c r="K66" s="1"/>
      <x:c r="L66" s="1"/>
    </x:row>
    <x:row r="67" ht="22" customHeight="1">
      <x:c r="A67" s="1"/>
      <x:c r="B67" s="1"/>
      <x:c r="C67" s="1"/>
      <x:c r="D67" s="4"/>
      <x:c r="E67" s="4"/>
      <x:c r="F67" s="4"/>
      <x:c r="G67" s="4"/>
      <x:c r="H67" s="4"/>
      <x:c r="I67" s="4"/>
      <x:c r="J67" s="1"/>
      <x:c r="K67" s="1"/>
      <x:c r="L67" s="1"/>
    </x:row>
    <x:row r="68" ht="22" customHeight="1">
      <x:c r="A68" s="1"/>
      <x:c r="B68" s="1"/>
      <x:c r="C68" s="1"/>
      <x:c r="D68" s="4"/>
      <x:c r="E68" s="4"/>
      <x:c r="F68" s="4"/>
      <x:c r="G68" s="4"/>
      <x:c r="H68" s="4"/>
      <x:c r="I68" s="4"/>
      <x:c r="J68" s="1"/>
      <x:c r="K68" s="1"/>
      <x:c r="L68" s="1"/>
    </x:row>
    <x:row r="69" ht="22" customHeight="1">
      <x:c r="A69" s="1"/>
      <x:c r="B69" s="1"/>
      <x:c r="C69" s="1"/>
      <x:c r="D69" s="4"/>
      <x:c r="E69" s="4"/>
      <x:c r="F69" s="4"/>
      <x:c r="G69" s="4"/>
      <x:c r="H69" s="4"/>
      <x:c r="I69" s="4"/>
      <x:c r="J69" s="1"/>
      <x:c r="K69" s="1"/>
      <x:c r="L69" s="1"/>
    </x:row>
    <x:row r="70" ht="22" customHeight="1">
      <x:c r="A70" s="1"/>
      <x:c r="B70" s="1"/>
      <x:c r="C70" s="1"/>
      <x:c r="D70" s="4"/>
      <x:c r="E70" s="4"/>
      <x:c r="F70" s="4"/>
      <x:c r="G70" s="4"/>
      <x:c r="H70" s="4"/>
      <x:c r="I70" s="4"/>
      <x:c r="J70" s="1"/>
      <x:c r="K70" s="1"/>
      <x:c r="L70" s="1"/>
    </x:row>
    <x:row r="71" ht="22" customHeight="1">
      <x:c r="A71" s="1"/>
      <x:c r="B71" s="1"/>
      <x:c r="C71" s="1"/>
      <x:c r="D71" s="4"/>
      <x:c r="E71" s="4"/>
      <x:c r="F71" s="4"/>
      <x:c r="G71" s="4"/>
      <x:c r="H71" s="4"/>
      <x:c r="I71" s="4"/>
      <x:c r="J71" s="1"/>
      <x:c r="K71" s="1"/>
      <x:c r="L71" s="1"/>
    </x:row>
    <x:row r="72" ht="22" customHeight="1">
      <x:c r="A72" s="1"/>
      <x:c r="B72" s="1"/>
      <x:c r="C72" s="1"/>
      <x:c r="D72" s="4"/>
      <x:c r="E72" s="4"/>
      <x:c r="F72" s="4"/>
      <x:c r="G72" s="4"/>
      <x:c r="H72" s="4"/>
      <x:c r="I72" s="4"/>
      <x:c r="J72" s="1"/>
      <x:c r="K72" s="1"/>
      <x:c r="L72" s="1"/>
    </x:row>
    <x:row r="73" ht="22" customHeight="1">
      <x:c r="A73" s="1"/>
      <x:c r="B73" s="1"/>
      <x:c r="C73" s="1"/>
      <x:c r="D73" s="4"/>
      <x:c r="E73" s="4"/>
      <x:c r="F73" s="4"/>
      <x:c r="G73" s="4"/>
      <x:c r="H73" s="4"/>
      <x:c r="I73" s="4"/>
      <x:c r="J73" s="1"/>
      <x:c r="K73" s="1"/>
      <x:c r="L73" s="1"/>
    </x:row>
    <x:row r="74" ht="22" customHeight="1">
      <x:c r="A74" s="1"/>
      <x:c r="B74" s="1"/>
      <x:c r="C74" s="1"/>
      <x:c r="D74" s="4"/>
      <x:c r="E74" s="4"/>
      <x:c r="F74" s="4"/>
      <x:c r="G74" s="4"/>
      <x:c r="H74" s="4"/>
      <x:c r="I74" s="4"/>
      <x:c r="J74" s="1"/>
      <x:c r="K74" s="1"/>
      <x:c r="L74" s="1"/>
    </x:row>
    <x:row r="75" ht="22" customHeight="1">
      <x:c r="A75" s="1"/>
      <x:c r="B75" s="1"/>
      <x:c r="C75" s="1"/>
      <x:c r="D75" s="4"/>
      <x:c r="E75" s="4"/>
      <x:c r="F75" s="4"/>
      <x:c r="G75" s="4"/>
      <x:c r="H75" s="4"/>
      <x:c r="I75" s="4"/>
      <x:c r="J75" s="1"/>
      <x:c r="K75" s="1"/>
      <x:c r="L75" s="1"/>
    </x:row>
    <x:row r="76" ht="22" customHeight="1">
      <x:c r="A76" s="1"/>
      <x:c r="B76" s="1"/>
      <x:c r="C76" s="1"/>
      <x:c r="D76" s="4"/>
      <x:c r="E76" s="4"/>
      <x:c r="F76" s="4"/>
      <x:c r="G76" s="4"/>
      <x:c r="H76" s="4"/>
      <x:c r="I76" s="4"/>
      <x:c r="J76" s="1"/>
      <x:c r="K76" s="1"/>
      <x:c r="L76" s="1"/>
    </x:row>
    <x:row r="77" ht="22" customHeight="1">
      <x:c r="A77" s="1"/>
      <x:c r="B77" s="1"/>
      <x:c r="C77" s="1"/>
      <x:c r="D77" s="4"/>
      <x:c r="E77" s="4"/>
      <x:c r="F77" s="4"/>
      <x:c r="G77" s="4"/>
      <x:c r="H77" s="4"/>
      <x:c r="I77" s="4"/>
      <x:c r="J77" s="1"/>
      <x:c r="K77" s="1"/>
      <x:c r="L77" s="1"/>
    </x:row>
    <x:row r="78" ht="22" customHeight="1">
      <x:c r="A78" s="1"/>
      <x:c r="B78" s="1"/>
      <x:c r="C78" s="1"/>
      <x:c r="D78" s="4"/>
      <x:c r="E78" s="4"/>
      <x:c r="F78" s="4"/>
      <x:c r="G78" s="4"/>
      <x:c r="H78" s="4"/>
      <x:c r="I78" s="4"/>
      <x:c r="J78" s="1"/>
      <x:c r="K78" s="1"/>
      <x:c r="L78" s="1"/>
    </x:row>
    <x:row r="79" ht="22" customHeight="1">
      <x:c r="A79" s="1"/>
      <x:c r="B79" s="1"/>
      <x:c r="C79" s="1"/>
      <x:c r="D79" s="4"/>
      <x:c r="E79" s="4"/>
      <x:c r="F79" s="4"/>
      <x:c r="G79" s="4"/>
      <x:c r="H79" s="4"/>
      <x:c r="I79" s="4"/>
      <x:c r="J79" s="1"/>
      <x:c r="K79" s="1"/>
      <x:c r="L79" s="1"/>
    </x:row>
    <x:row r="80" ht="22" customHeight="1">
      <x:c r="A80" s="1"/>
      <x:c r="B80" s="1"/>
      <x:c r="C80" s="1"/>
      <x:c r="D80" s="4"/>
      <x:c r="E80" s="4"/>
      <x:c r="F80" s="4"/>
      <x:c r="G80" s="4"/>
      <x:c r="H80" s="4"/>
      <x:c r="I80" s="4"/>
      <x:c r="J80" s="1"/>
      <x:c r="K80" s="1"/>
      <x:c r="L80" s="1"/>
    </x:row>
    <x:row r="81" ht="22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</x:row>
    <x:row r="82" ht="22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</x:row>
    <x:row r="83" ht="22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</x:row>
    <x:row r="84" ht="22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</x:row>
    <x:row r="85" ht="22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33" hidden="0" customWidth="1"/>
    <x:col min="4" max="4" width="17" hidden="0" customWidth="1"/>
    <x:col min="5" max="5" width="17" hidden="0" customWidth="1"/>
    <x:col min="6" max="6" width="30" hidden="0" customWidth="1"/>
    <x:col min="7" max="7" width="30" hidden="0" customWidth="1"/>
    <x:col min="8" max="8" width="30" hidden="0" customWidth="1"/>
    <x:col min="9" max="9" width="30" hidden="0" customWidth="1"/>
    <x:col min="10" max="10" width="30" hidden="0" customWidth="1"/>
    <x:col min="11" max="11" width="30" hidden="0" customWidth="1"/>
    <x:col min="12" max="12" width="30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2" customHeight="1">
      <x:c r="A2" s="1"/>
      <x:c r="B2" s="1"/>
      <x:c r="C2" s="2" t="str">
        <x:v>Actuals Sources</x:v>
      </x:c>
      <x:c r="D2" s="2"/>
      <x:c r="E2" s="2"/>
      <x:c r="F2" s="2"/>
      <x:c r="G2" s="2"/>
      <x:c r="H2" s="2"/>
      <x:c r="I2" s="2"/>
      <x:c r="J2" s="1"/>
      <x:c r="K2" s="1"/>
      <x:c r="L2" s="1"/>
    </x:row>
    <x:row r="3" ht="22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22" customHeight="1">
      <x:c r="A4" s="1"/>
      <x:c r="B4" s="1"/>
      <x:c r="C4" s="1" t="str">
        <x:v>Case selected</x:v>
      </x:c>
      <x:c r="D4" s="3" t="str">
        <x:f>Inputs!D3</x:f>
        <x:v>Base</x:v>
      </x:c>
      <x:c r="E4" s="1"/>
      <x:c r="F4" s="1"/>
      <x:c r="G4" s="1"/>
      <x:c r="H4" s="1"/>
      <x:c r="I4" s="1"/>
      <x:c r="J4" s="1"/>
      <x:c r="K4" s="1"/>
      <x:c r="L4" s="1"/>
    </x:row>
    <x:row r="5" ht="22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 ht="22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</x:row>
    <x:row r="7" ht="22" customHeight="1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</x:row>
    <x:row r="8" ht="27" customHeight="1">
      <x:c r="A8" s="1"/>
      <x:c r="B8" s="1"/>
      <x:c r="C8" s="18" t="str">
        <x:v>2026H1 actual</x:v>
      </x:c>
      <x:c r="D8" s="19" t="str">
        <x:v>KRW bn / shares mn</x:v>
      </x:c>
      <x:c r="E8" s="19" t="str">
        <x:v>Source</x:v>
      </x:c>
      <x:c r="F8" s="19" t="str">
        <x:v>Account meaning</x:v>
      </x:c>
      <x:c r="G8" s="4"/>
      <x:c r="H8" s="4"/>
      <x:c r="I8" s="4"/>
      <x:c r="J8" s="1"/>
      <x:c r="K8" s="1"/>
      <x:c r="L8" s="1"/>
    </x:row>
    <x:row r="9" ht="22" customHeight="1">
      <x:c r="A9" s="1"/>
      <x:c r="B9" s="1"/>
      <x:c r="C9" s="1" t="str">
        <x:v>Revenue H1</x:v>
      </x:c>
      <x:c r="D9" s="7" t="n">
        <x:v>190.264732356</x:v>
      </x:c>
      <x:c r="E9" s="4" t="str">
        <x:v>S01</x:v>
      </x:c>
      <x:c r="F9" s="4"/>
      <x:c r="G9" s="4"/>
      <x:c r="H9" s="4"/>
      <x:c r="I9" s="4"/>
      <x:c r="J9" s="1"/>
      <x:c r="K9" s="1"/>
      <x:c r="L9" s="1"/>
    </x:row>
    <x:row r="10" ht="22" customHeight="1">
      <x:c r="A10" s="1"/>
      <x:c r="B10" s="1"/>
      <x:c r="C10" s="1" t="str">
        <x:v>Operating profit H1</x:v>
      </x:c>
      <x:c r="D10" s="7" t="n">
        <x:v>55.403971977</x:v>
      </x:c>
      <x:c r="E10" s="4" t="str">
        <x:v>S01</x:v>
      </x:c>
      <x:c r="F10" s="4"/>
      <x:c r="G10" s="4"/>
      <x:c r="H10" s="4"/>
      <x:c r="I10" s="4"/>
      <x:c r="J10" s="1"/>
      <x:c r="K10" s="1"/>
      <x:c r="L10" s="1"/>
    </x:row>
    <x:row r="11" ht="22" customHeight="1">
      <x:c r="A11" s="1"/>
      <x:c r="B11" s="1"/>
      <x:c r="C11" s="1" t="str">
        <x:v>Parent NI H1</x:v>
      </x:c>
      <x:c r="D11" s="7" t="n">
        <x:v>48.763300047</x:v>
      </x:c>
      <x:c r="E11" s="4" t="str">
        <x:v>S01</x:v>
      </x:c>
      <x:c r="F11" s="4"/>
      <x:c r="G11" s="4"/>
      <x:c r="H11" s="4"/>
      <x:c r="I11" s="4"/>
      <x:c r="J11" s="1"/>
      <x:c r="K11" s="1"/>
      <x:c r="L11" s="1"/>
    </x:row>
    <x:row r="12" ht="22" customHeight="1">
      <x:c r="A12" s="1"/>
      <x:c r="B12" s="1"/>
      <x:c r="C12" s="1" t="str">
        <x:v>Parent equity</x:v>
      </x:c>
      <x:c r="D12" s="7" t="n">
        <x:v>551.45417785</x:v>
      </x:c>
      <x:c r="E12" s="4" t="str">
        <x:v>S01</x:v>
      </x:c>
      <x:c r="F12" s="4"/>
      <x:c r="G12" s="4"/>
      <x:c r="H12" s="4"/>
      <x:c r="I12" s="4"/>
      <x:c r="J12" s="1"/>
      <x:c r="K12" s="1"/>
      <x:c r="L12" s="1"/>
    </x:row>
    <x:row r="13" ht="22" customHeight="1">
      <x:c r="A13" s="1"/>
      <x:c r="B13" s="1"/>
      <x:c r="C13" s="1" t="str">
        <x:v>Non-controlling interests</x:v>
      </x:c>
      <x:c r="D13" s="7" t="n">
        <x:v>0</x:v>
      </x:c>
      <x:c r="E13" s="4" t="str">
        <x:v>S01</x:v>
      </x:c>
      <x:c r="F13" s="4"/>
      <x:c r="G13" s="4"/>
      <x:c r="H13" s="4"/>
      <x:c r="I13" s="4"/>
      <x:c r="J13" s="1"/>
      <x:c r="K13" s="1"/>
      <x:c r="L13" s="1"/>
    </x:row>
    <x:row r="14" ht="22" customHeight="1">
      <x:c r="A14" s="1"/>
      <x:c r="B14" s="1"/>
      <x:c r="C14" s="1" t="str">
        <x:v>Cash equivalents</x:v>
      </x:c>
      <x:c r="D14" s="7" t="n">
        <x:v>31.887717881</x:v>
      </x:c>
      <x:c r="E14" s="4" t="str">
        <x:v>S01</x:v>
      </x:c>
      <x:c r="F14" s="4"/>
      <x:c r="G14" s="4"/>
      <x:c r="H14" s="4"/>
      <x:c r="I14" s="4"/>
      <x:c r="J14" s="1"/>
      <x:c r="K14" s="1"/>
      <x:c r="L14" s="1"/>
    </x:row>
    <x:row r="15" ht="22" customHeight="1">
      <x:c r="A15" s="1"/>
      <x:c r="B15" s="1"/>
      <x:c r="C15" s="1" t="str">
        <x:v>Included financial assets</x:v>
      </x:c>
      <x:c r="D15" s="7" t="n">
        <x:v>261</x:v>
      </x:c>
      <x:c r="E15" s="4" t="str">
        <x:v>S01</x:v>
      </x:c>
      <x:c r="F15" s="4"/>
      <x:c r="G15" s="4"/>
      <x:c r="H15" s="4"/>
      <x:c r="I15" s="4"/>
      <x:c r="J15" s="1"/>
      <x:c r="K15" s="1"/>
      <x:c r="L15" s="1"/>
    </x:row>
    <x:row r="16" ht="22" customHeight="1">
      <x:c r="A16" s="1"/>
      <x:c r="B16" s="1"/>
      <x:c r="C16" s="1" t="str">
        <x:v>Borrowings / bonds</x:v>
      </x:c>
      <x:c r="D16" s="7" t="n">
        <x:v>0</x:v>
      </x:c>
      <x:c r="E16" s="4" t="str">
        <x:v>S01</x:v>
      </x:c>
      <x:c r="F16" s="4"/>
      <x:c r="G16" s="4"/>
      <x:c r="H16" s="4"/>
      <x:c r="I16" s="4"/>
      <x:c r="J16" s="1"/>
      <x:c r="K16" s="1"/>
      <x:c r="L16" s="1"/>
    </x:row>
    <x:row r="17" ht="22" customHeight="1">
      <x:c r="A17" s="1"/>
      <x:c r="B17" s="1"/>
      <x:c r="C17" s="1" t="str">
        <x:v>Additional lease debt</x:v>
      </x:c>
      <x:c r="D17" s="7" t="n">
        <x:v>0.886934028</x:v>
      </x:c>
      <x:c r="E17" s="4" t="str">
        <x:v>S01</x:v>
      </x:c>
      <x:c r="F17" s="4"/>
      <x:c r="G17" s="4"/>
      <x:c r="H17" s="4"/>
      <x:c r="I17" s="4"/>
      <x:c r="J17" s="1"/>
      <x:c r="K17" s="1"/>
      <x:c r="L17" s="1"/>
    </x:row>
    <x:row r="18" ht="22" customHeight="1">
      <x:c r="A18" s="1"/>
      <x:c r="B18" s="1"/>
      <x:c r="C18" s="1" t="str">
        <x:v>Operating NWC</x:v>
      </x:c>
      <x:c r="D18" s="7" t="n">
        <x:v>140.070779693</x:v>
      </x:c>
      <x:c r="E18" s="4" t="str">
        <x:v>S01</x:v>
      </x:c>
      <x:c r="F18" s="4"/>
      <x:c r="G18" s="4"/>
      <x:c r="H18" s="4"/>
      <x:c r="I18" s="4"/>
      <x:c r="J18" s="1"/>
      <x:c r="K18" s="1"/>
      <x:c r="L18" s="1"/>
    </x:row>
    <x:row r="19" ht="22" customHeight="1">
      <x:c r="A19" s="1"/>
      <x:c r="B19" s="1"/>
      <x:c r="C19" s="1" t="str">
        <x:v>D&amp;A H1</x:v>
      </x:c>
      <x:c r="D19" s="7" t="n">
        <x:v>7.572563</x:v>
      </x:c>
      <x:c r="E19" s="4" t="str">
        <x:v>S01</x:v>
      </x:c>
      <x:c r="F19" s="4"/>
      <x:c r="G19" s="4"/>
      <x:c r="H19" s="4"/>
      <x:c r="I19" s="4"/>
      <x:c r="J19" s="1"/>
      <x:c r="K19" s="1"/>
      <x:c r="L19" s="1"/>
    </x:row>
    <x:row r="20" ht="22" customHeight="1">
      <x:c r="A20" s="1"/>
      <x:c r="B20" s="1"/>
      <x:c r="C20" s="1" t="str">
        <x:v>Asset investment H1</x:v>
      </x:c>
      <x:c r="D20" s="7" t="n">
        <x:v>3.071826694</x:v>
      </x:c>
      <x:c r="E20" s="4" t="str">
        <x:v>S01</x:v>
      </x:c>
      <x:c r="F20" s="4"/>
      <x:c r="G20" s="4"/>
      <x:c r="H20" s="4"/>
      <x:c r="I20" s="4"/>
      <x:c r="J20" s="1"/>
      <x:c r="K20" s="1"/>
      <x:c r="L20" s="1"/>
    </x:row>
    <x:row r="21" ht="22" customHeight="1">
      <x:c r="A21" s="1"/>
      <x:c r="B21" s="1"/>
      <x:c r="C21" s="1" t="str">
        <x:v>CFO as filed</x:v>
      </x:c>
      <x:c r="D21" s="7" t="n">
        <x:v>19.782170119</x:v>
      </x:c>
      <x:c r="E21" s="4" t="str">
        <x:v>S01</x:v>
      </x:c>
      <x:c r="F21" s="4"/>
      <x:c r="G21" s="4"/>
      <x:c r="H21" s="4"/>
      <x:c r="I21" s="4"/>
      <x:c r="J21" s="1"/>
      <x:c r="K21" s="1"/>
      <x:c r="L21" s="1"/>
    </x:row>
    <x:row r="22" ht="22" customHeight="1">
      <x:c r="A22" s="1"/>
      <x:c r="B22" s="1"/>
      <x:c r="C22" s="1" t="str">
        <x:v>Economic shares (million)</x:v>
      </x:c>
      <x:c r="D22" s="8" t="n">
        <x:v>11.179416</x:v>
      </x:c>
      <x:c r="E22" s="4" t="str">
        <x:v>S04</x:v>
      </x:c>
      <x:c r="F22" s="4"/>
      <x:c r="G22" s="4"/>
      <x:c r="H22" s="4"/>
      <x:c r="I22" s="4"/>
      <x:c r="J22" s="1"/>
      <x:c r="K22" s="1"/>
      <x:c r="L22" s="1"/>
    </x:row>
    <x:row r="23" ht="22" customHeight="1">
      <x:c r="A23" s="1"/>
      <x:c r="B23" s="1"/>
      <x:c r="C23" s="1" t="str">
        <x:v>Non-operating assets</x:v>
      </x:c>
      <x:c r="D23" s="7" t="n">
        <x:v>0</x:v>
      </x:c>
      <x:c r="E23" s="4" t="str">
        <x:v>S01</x:v>
      </x:c>
      <x:c r="F23" s="4"/>
      <x:c r="G23" s="4"/>
      <x:c r="H23" s="4"/>
      <x:c r="I23" s="4"/>
      <x:c r="J23" s="1"/>
      <x:c r="K23" s="1"/>
      <x:c r="L23" s="1"/>
    </x:row>
    <x:row r="24" ht="22" customHeight="1">
      <x:c r="A24" s="1"/>
      <x:c r="B24" s="1"/>
      <x:c r="C24" s="1" t="str">
        <x:v>Group NI H1</x:v>
      </x:c>
      <x:c r="D24" s="7" t="n">
        <x:v>48.763300047</x:v>
      </x:c>
      <x:c r="E24" s="4" t="str">
        <x:v>S01</x:v>
      </x:c>
      <x:c r="F24" s="4"/>
      <x:c r="G24" s="4"/>
      <x:c r="H24" s="4"/>
      <x:c r="I24" s="4"/>
      <x:c r="J24" s="1"/>
      <x:c r="K24" s="1"/>
      <x:c r="L24" s="1"/>
    </x:row>
    <x:row r="25" ht="22" customHeight="1">
      <x:c r="A25" s="1"/>
      <x:c r="B25" s="1"/>
      <x:c r="C25" s="1" t="str">
        <x:v>Forecast parent NI factor</x:v>
      </x:c>
      <x:c r="D25" s="5" t="n">
        <x:f>MIN(1,D11/D24)</x:f>
        <x:v>1</x:v>
      </x:c>
      <x:c r="E25" s="4"/>
      <x:c r="F25" s="4"/>
      <x:c r="G25" s="4"/>
      <x:c r="H25" s="4"/>
      <x:c r="I25" s="4"/>
      <x:c r="J25" s="1"/>
      <x:c r="K25" s="1"/>
      <x:c r="L25" s="1"/>
    </x:row>
    <x:row r="26" ht="22" customHeight="1">
      <x:c r="A26" s="1"/>
      <x:c r="B26" s="1"/>
      <x:c r="C26" s="1"/>
      <x:c r="D26" s="4"/>
      <x:c r="E26" s="4"/>
      <x:c r="F26" s="4"/>
      <x:c r="G26" s="4"/>
      <x:c r="H26" s="4"/>
      <x:c r="I26" s="4"/>
      <x:c r="J26" s="1"/>
      <x:c r="K26" s="1"/>
      <x:c r="L26" s="1"/>
    </x:row>
    <x:row r="27" ht="27" customHeight="1">
      <x:c r="A27" s="1"/>
      <x:c r="B27" s="1"/>
      <x:c r="C27" s="18" t="str">
        <x:v>Source</x:v>
      </x:c>
      <x:c r="D27" s="19" t="str">
        <x:v>Publisher</x:v>
      </x:c>
      <x:c r="E27" s="19" t="str">
        <x:v>Title</x:v>
      </x:c>
      <x:c r="F27" s="19" t="str">
        <x:v>URL</x:v>
      </x:c>
      <x:c r="G27" s="4"/>
      <x:c r="H27" s="4"/>
      <x:c r="I27" s="4"/>
      <x:c r="J27" s="1"/>
      <x:c r="K27" s="1"/>
      <x:c r="L27" s="1"/>
    </x:row>
    <x:row r="28" ht="22" customHeight="1">
      <x:c r="A28" s="1"/>
      <x:c r="B28" s="1"/>
      <x:c r="C28" s="1" t="str">
        <x:v>S01</x:v>
      </x:c>
      <x:c r="D28" s="4" t="str">
        <x:v>DART</x:v>
      </x:c>
      <x:c r="E28" s="4" t="str">
        <x:v>2026 반기 재무제표</x:v>
      </x:c>
      <x:c r="F28" s="4" t="str">
        <x:v>https://dart.fss.or.kr/report/viewer.do?rcpNo=20260814001689&amp;dcmNo=11530690&amp;eleId=21&amp;offset=190796&amp;length=110466&amp;dtd=dart4.xsd</x:v>
      </x:c>
      <x:c r="G28" s="4"/>
      <x:c r="H28" s="4"/>
      <x:c r="I28" s="4"/>
      <x:c r="J28" s="1"/>
      <x:c r="K28" s="1"/>
      <x:c r="L28" s="1"/>
    </x:row>
    <x:row r="29" ht="22" customHeight="1">
      <x:c r="A29" s="1"/>
      <x:c r="B29" s="1"/>
      <x:c r="C29" s="1" t="str">
        <x:v>S02</x:v>
      </x:c>
      <x:c r="D29" s="4" t="str">
        <x:v>DART</x:v>
      </x:c>
      <x:c r="E29" s="4" t="str">
        <x:v>2026 반기 주석 8·28 등</x:v>
      </x:c>
      <x:c r="F29" s="4" t="str">
        <x:v>https://dart.fss.or.kr/report/viewer.do?rcpNo=20260814001689&amp;dcmNo=11530690&amp;eleId=26&amp;offset=301266&amp;length=780895&amp;dtd=dart4.xsd</x:v>
      </x:c>
      <x:c r="G29" s="4"/>
      <x:c r="H29" s="4"/>
      <x:c r="I29" s="4"/>
      <x:c r="J29" s="1"/>
      <x:c r="K29" s="1"/>
      <x:c r="L29" s="1"/>
    </x:row>
    <x:row r="30" ht="22" customHeight="1">
      <x:c r="A30" s="1"/>
      <x:c r="B30" s="1"/>
      <x:c r="C30" s="1" t="str">
        <x:v>S03</x:v>
      </x:c>
      <x:c r="D30" s="4" t="str">
        <x:v>DART</x:v>
      </x:c>
      <x:c r="E30" s="4" t="str">
        <x:v>2026 반기 매출 및 수주</x:v>
      </x:c>
      <x:c r="F30" s="4" t="str">
        <x:v>https://dart.fss.or.kr/report/viewer.do?rcpNo=20260814001689&amp;dcmNo=11530690&amp;eleId=13&amp;offset=121950&amp;length=17187&amp;dtd=dart4.xsd</x:v>
      </x:c>
      <x:c r="G30" s="4"/>
      <x:c r="H30" s="4"/>
      <x:c r="I30" s="4"/>
      <x:c r="J30" s="1"/>
      <x:c r="K30" s="1"/>
      <x:c r="L30" s="1"/>
    </x:row>
    <x:row r="31" ht="22" customHeight="1">
      <x:c r="A31" s="1"/>
      <x:c r="B31" s="1"/>
      <x:c r="C31" s="1" t="str">
        <x:v>S04</x:v>
      </x:c>
      <x:c r="D31" s="4" t="str">
        <x:v>DART</x:v>
      </x:c>
      <x:c r="E31" s="4" t="str">
        <x:v>2026 반기 주식수</x:v>
      </x:c>
      <x:c r="F31" s="4" t="str">
        <x:v>https://dart.fss.or.kr/report/viewer.do?rcpNo=20260814001689&amp;dcmNo=11530690&amp;eleId=7&amp;offset=48851&amp;length=33858&amp;dtd=dart4.xsd</x:v>
      </x:c>
      <x:c r="G31" s="4"/>
      <x:c r="H31" s="4"/>
      <x:c r="I31" s="4"/>
      <x:c r="J31" s="1"/>
      <x:c r="K31" s="1"/>
      <x:c r="L31" s="1"/>
    </x:row>
    <x:row r="32" ht="22" customHeight="1">
      <x:c r="A32" s="1"/>
      <x:c r="B32" s="1"/>
      <x:c r="C32" s="1" t="str">
        <x:v>S05</x:v>
      </x:c>
      <x:c r="D32" s="4" t="str">
        <x:v>KRX KIND</x:v>
      </x:c>
      <x:c r="E32" s="4" t="str">
        <x:v>2025 사업보고서 III.4</x:v>
      </x:c>
      <x:c r="F32" s="4" t="str">
        <x:v>https://kind.krx.co.kr/external/2026/03/10/001538/20260310003407/11011.htm</x:v>
      </x:c>
      <x:c r="G32" s="4"/>
      <x:c r="H32" s="4"/>
      <x:c r="I32" s="4"/>
      <x:c r="J32" s="1"/>
      <x:c r="K32" s="1"/>
      <x:c r="L32" s="1"/>
    </x:row>
    <x:row r="33" ht="22" customHeight="1">
      <x:c r="A33" s="1"/>
      <x:c r="B33" s="1"/>
      <x:c r="C33" s="1" t="str">
        <x:v>S06</x:v>
      </x:c>
      <x:c r="D33" s="4" t="str">
        <x:v>티씨케이</x:v>
      </x:c>
      <x:c r="E33" s="4" t="str">
        <x:v>CVD SiC 제품</x:v>
      </x:c>
      <x:c r="F33" s="4" t="str">
        <x:v>https://www.tck.co.kr/kor/business/SolidSiC.php</x:v>
      </x:c>
      <x:c r="G33" s="4"/>
      <x:c r="H33" s="4"/>
      <x:c r="I33" s="4"/>
      <x:c r="J33" s="1"/>
      <x:c r="K33" s="1"/>
      <x:c r="L33" s="1"/>
    </x:row>
    <x:row r="34" ht="22" customHeight="1">
      <x:c r="A34" s="1"/>
      <x:c r="B34" s="1"/>
      <x:c r="C34" s="1" t="str">
        <x:v>S07</x:v>
      </x:c>
      <x:c r="D34" s="4" t="str">
        <x:v>Tokai Carbon</x:v>
      </x:c>
      <x:c r="E34" s="4" t="str">
        <x:v>비교기업 사업</x:v>
      </x:c>
      <x:c r="F34" s="4" t="str">
        <x:v>https://www.tokaicarbon.co.jp/en/company/profile.html</x:v>
      </x:c>
      <x:c r="G34" s="4"/>
      <x:c r="H34" s="4"/>
      <x:c r="I34" s="4"/>
      <x:c r="J34" s="1"/>
      <x:c r="K34" s="1"/>
      <x:c r="L34" s="1"/>
    </x:row>
    <x:row r="35" ht="22" customHeight="1">
      <x:c r="A35" s="1"/>
      <x:c r="B35" s="1"/>
      <x:c r="C35" s="1" t="str">
        <x:v>M01</x:v>
      </x:c>
      <x:c r="D35" s="4" t="str">
        <x:v>NYU Stern, Aswath Damodaran</x:v>
      </x:c>
      <x:c r="E35" s="4" t="str">
        <x:v>PER의 성장·ROE·배당·위험 관계</x:v>
      </x:c>
      <x:c r="F35" s="4" t="str">
        <x:v>https://pages.stern.nyu.edu/~adamodar/New_Home_Page/invfables/peratio.htm</x:v>
      </x:c>
      <x:c r="G35" s="4"/>
      <x:c r="H35" s="4"/>
      <x:c r="I35" s="4"/>
      <x:c r="J35" s="1"/>
      <x:c r="K35" s="1"/>
      <x:c r="L35" s="1"/>
    </x:row>
    <x:row r="36" ht="22" customHeight="1">
      <x:c r="A36" s="1"/>
      <x:c r="B36" s="1"/>
      <x:c r="C36" s="1" t="str">
        <x:v>M02</x:v>
      </x:c>
      <x:c r="D36" s="4" t="str">
        <x:v>NYU Stern, Aswath Damodaran</x:v>
      </x:c>
      <x:c r="E36" s="4" t="str">
        <x:v>성숙기 재투자와 잔존가치</x:v>
      </x:c>
      <x:c r="F36" s="4" t="str">
        <x:v>https://pages.stern.nyu.edu/~adamodar/New_Home_Page/valquestions/termvalueexreturns.htm</x:v>
      </x:c>
      <x:c r="G36" s="4"/>
      <x:c r="H36" s="4"/>
      <x:c r="I36" s="4"/>
      <x:c r="J36" s="1"/>
      <x:c r="K36" s="1"/>
      <x:c r="L36" s="1"/>
    </x:row>
    <x:row r="37" ht="22" customHeight="1">
      <x:c r="A37" s="1"/>
      <x:c r="B37" s="1"/>
      <x:c r="C37" s="1" t="str">
        <x:v>P01</x:v>
      </x:c>
      <x:c r="D37" s="4" t="str">
        <x:v>하나머티리얼즈</x:v>
      </x:c>
      <x:c r="E37" s="4" t="str">
        <x:v>회사개요·부품 제품</x:v>
      </x:c>
      <x:c r="F37" s="4" t="str">
        <x:v>https://hanamts.com/corp1_temp/</x:v>
      </x:c>
      <x:c r="G37" s="4"/>
      <x:c r="H37" s="4"/>
      <x:c r="I37" s="4"/>
      <x:c r="J37" s="1"/>
      <x:c r="K37" s="1"/>
      <x:c r="L37" s="1"/>
    </x:row>
    <x:row r="38" ht="22" customHeight="1">
      <x:c r="A38" s="1"/>
      <x:c r="B38" s="1"/>
      <x:c r="C38" s="1" t="str">
        <x:v>PX01</x:v>
      </x:c>
      <x:c r="D38" s="4" t="str">
        <x:v>NAVER Finance</x:v>
      </x:c>
      <x:c r="E38" s="4" t="str">
        <x:v>2026-10-16 일별시세 참고 종가</x:v>
      </x:c>
      <x:c r="F38" s="4" t="str">
        <x:v>https://api.finance.naver.com/siseJson.naver?symbol=064760&amp;requestType=1&amp;startTime=20261016&amp;endTime=20261016&amp;timeframe=day</x:v>
      </x:c>
      <x:c r="G38" s="4"/>
      <x:c r="H38" s="4"/>
      <x:c r="I38" s="4"/>
      <x:c r="J38" s="1"/>
      <x:c r="K38" s="1"/>
      <x:c r="L38" s="1"/>
    </x:row>
    <x:row r="39" ht="22" customHeight="1">
      <x:c r="A39" s="1"/>
      <x:c r="B39" s="1"/>
      <x:c r="C39" s="1"/>
      <x:c r="D39" s="4"/>
      <x:c r="E39" s="4"/>
      <x:c r="F39" s="4"/>
      <x:c r="G39" s="4"/>
      <x:c r="H39" s="4"/>
      <x:c r="I39" s="4"/>
      <x:c r="J39" s="1"/>
      <x:c r="K39" s="1"/>
      <x:c r="L39" s="1"/>
    </x:row>
    <x:row r="40" ht="22" customHeight="1">
      <x:c r="A40" s="1"/>
      <x:c r="B40" s="1"/>
      <x:c r="C40" s="1"/>
      <x:c r="D40" s="4"/>
      <x:c r="E40" s="4"/>
      <x:c r="F40" s="4"/>
      <x:c r="G40" s="4"/>
      <x:c r="H40" s="4"/>
      <x:c r="I40" s="4"/>
      <x:c r="J40" s="1"/>
      <x:c r="K40" s="1"/>
      <x:c r="L40" s="1"/>
    </x:row>
    <x:row r="41" ht="22" customHeight="1">
      <x:c r="A41" s="1"/>
      <x:c r="B41" s="1"/>
      <x:c r="C41" s="1"/>
      <x:c r="D41" s="4"/>
      <x:c r="E41" s="4"/>
      <x:c r="F41" s="4"/>
      <x:c r="G41" s="4"/>
      <x:c r="H41" s="4"/>
      <x:c r="I41" s="4"/>
      <x:c r="J41" s="1"/>
      <x:c r="K41" s="1"/>
      <x:c r="L41" s="1"/>
    </x:row>
    <x:row r="42" ht="22" customHeight="1">
      <x:c r="A42" s="1"/>
      <x:c r="B42" s="1"/>
      <x:c r="C42" s="1"/>
      <x:c r="D42" s="4"/>
      <x:c r="E42" s="4"/>
      <x:c r="F42" s="4"/>
      <x:c r="G42" s="4"/>
      <x:c r="H42" s="4"/>
      <x:c r="I42" s="4"/>
      <x:c r="J42" s="1"/>
      <x:c r="K42" s="1"/>
      <x:c r="L42" s="1"/>
    </x:row>
    <x:row r="43" ht="22" customHeight="1">
      <x:c r="A43" s="1"/>
      <x:c r="B43" s="1"/>
      <x:c r="C43" s="1"/>
      <x:c r="D43" s="4"/>
      <x:c r="E43" s="4"/>
      <x:c r="F43" s="4"/>
      <x:c r="G43" s="4"/>
      <x:c r="H43" s="4"/>
      <x:c r="I43" s="4"/>
      <x:c r="J43" s="1"/>
      <x:c r="K43" s="1"/>
      <x:c r="L43" s="1"/>
    </x:row>
    <x:row r="44" ht="22" customHeight="1">
      <x:c r="A44" s="1"/>
      <x:c r="B44" s="1"/>
      <x:c r="C44" s="1"/>
      <x:c r="D44" s="4"/>
      <x:c r="E44" s="4"/>
      <x:c r="F44" s="4"/>
      <x:c r="G44" s="4"/>
      <x:c r="H44" s="4"/>
      <x:c r="I44" s="4"/>
      <x:c r="J44" s="1"/>
      <x:c r="K44" s="1"/>
      <x:c r="L44" s="1"/>
    </x:row>
    <x:row r="45" ht="22" customHeight="1">
      <x:c r="A45" s="1"/>
      <x:c r="B45" s="1"/>
      <x:c r="C45" s="1"/>
      <x:c r="D45" s="4"/>
      <x:c r="E45" s="4"/>
      <x:c r="F45" s="4"/>
      <x:c r="G45" s="4"/>
      <x:c r="H45" s="4"/>
      <x:c r="I45" s="4"/>
      <x:c r="J45" s="1"/>
      <x:c r="K45" s="1"/>
      <x:c r="L45" s="1"/>
    </x:row>
    <x:row r="46" ht="22" customHeight="1">
      <x:c r="A46" s="1"/>
      <x:c r="B46" s="1"/>
      <x:c r="C46" s="1"/>
      <x:c r="D46" s="4"/>
      <x:c r="E46" s="4"/>
      <x:c r="F46" s="4"/>
      <x:c r="G46" s="4"/>
      <x:c r="H46" s="4"/>
      <x:c r="I46" s="4"/>
      <x:c r="J46" s="1"/>
      <x:c r="K46" s="1"/>
      <x:c r="L46" s="1"/>
    </x:row>
    <x:row r="47" ht="22" customHeight="1">
      <x:c r="A47" s="1"/>
      <x:c r="B47" s="1"/>
      <x:c r="C47" s="1"/>
      <x:c r="D47" s="4"/>
      <x:c r="E47" s="4"/>
      <x:c r="F47" s="4"/>
      <x:c r="G47" s="4"/>
      <x:c r="H47" s="4"/>
      <x:c r="I47" s="4"/>
      <x:c r="J47" s="1"/>
      <x:c r="K47" s="1"/>
      <x:c r="L47" s="1"/>
    </x:row>
    <x:row r="48" ht="22" customHeight="1">
      <x:c r="A48" s="1"/>
      <x:c r="B48" s="1"/>
      <x:c r="C48" s="1"/>
      <x:c r="D48" s="4"/>
      <x:c r="E48" s="4"/>
      <x:c r="F48" s="4"/>
      <x:c r="G48" s="4"/>
      <x:c r="H48" s="4"/>
      <x:c r="I48" s="4"/>
      <x:c r="J48" s="1"/>
      <x:c r="K48" s="1"/>
      <x:c r="L48" s="1"/>
    </x:row>
    <x:row r="49" ht="22" customHeight="1">
      <x:c r="A49" s="1"/>
      <x:c r="B49" s="1"/>
      <x:c r="C49" s="1"/>
      <x:c r="D49" s="4"/>
      <x:c r="E49" s="4"/>
      <x:c r="F49" s="4"/>
      <x:c r="G49" s="4"/>
      <x:c r="H49" s="4"/>
      <x:c r="I49" s="4"/>
      <x:c r="J49" s="1"/>
      <x:c r="K49" s="1"/>
      <x:c r="L49" s="1"/>
    </x:row>
    <x:row r="50" ht="22" customHeight="1">
      <x:c r="A50" s="1"/>
      <x:c r="B50" s="1"/>
      <x:c r="C50" s="1"/>
      <x:c r="D50" s="4"/>
      <x:c r="E50" s="4"/>
      <x:c r="F50" s="4"/>
      <x:c r="G50" s="4"/>
      <x:c r="H50" s="4"/>
      <x:c r="I50" s="4"/>
      <x:c r="J50" s="1"/>
      <x:c r="K50" s="1"/>
      <x:c r="L50" s="1"/>
    </x:row>
    <x:row r="51" ht="22" customHeight="1">
      <x:c r="A51" s="1"/>
      <x:c r="B51" s="1"/>
      <x:c r="C51" s="1"/>
      <x:c r="D51" s="4"/>
      <x:c r="E51" s="4"/>
      <x:c r="F51" s="4"/>
      <x:c r="G51" s="4"/>
      <x:c r="H51" s="4"/>
      <x:c r="I51" s="4"/>
      <x:c r="J51" s="1"/>
      <x:c r="K51" s="1"/>
      <x:c r="L51" s="1"/>
    </x:row>
    <x:row r="52" ht="22" customHeight="1">
      <x:c r="A52" s="1"/>
      <x:c r="B52" s="1"/>
      <x:c r="C52" s="1"/>
      <x:c r="D52" s="4"/>
      <x:c r="E52" s="4"/>
      <x:c r="F52" s="4"/>
      <x:c r="G52" s="4"/>
      <x:c r="H52" s="4"/>
      <x:c r="I52" s="4"/>
      <x:c r="J52" s="1"/>
      <x:c r="K52" s="1"/>
      <x:c r="L52" s="1"/>
    </x:row>
    <x:row r="53" ht="22" customHeight="1">
      <x:c r="A53" s="1"/>
      <x:c r="B53" s="1"/>
      <x:c r="C53" s="1"/>
      <x:c r="D53" s="4"/>
      <x:c r="E53" s="4"/>
      <x:c r="F53" s="4"/>
      <x:c r="G53" s="4"/>
      <x:c r="H53" s="4"/>
      <x:c r="I53" s="4"/>
      <x:c r="J53" s="1"/>
      <x:c r="K53" s="1"/>
      <x:c r="L53" s="1"/>
    </x:row>
    <x:row r="54" ht="22" customHeight="1">
      <x:c r="A54" s="1"/>
      <x:c r="B54" s="1"/>
      <x:c r="C54" s="1"/>
      <x:c r="D54" s="4"/>
      <x:c r="E54" s="4"/>
      <x:c r="F54" s="4"/>
      <x:c r="G54" s="4"/>
      <x:c r="H54" s="4"/>
      <x:c r="I54" s="4"/>
      <x:c r="J54" s="1"/>
      <x:c r="K54" s="1"/>
      <x:c r="L54" s="1"/>
    </x:row>
    <x:row r="55" ht="22" customHeight="1">
      <x:c r="A55" s="1"/>
      <x:c r="B55" s="1"/>
      <x:c r="C55" s="1"/>
      <x:c r="D55" s="4"/>
      <x:c r="E55" s="4"/>
      <x:c r="F55" s="4"/>
      <x:c r="G55" s="4"/>
      <x:c r="H55" s="4"/>
      <x:c r="I55" s="4"/>
      <x:c r="J55" s="1"/>
      <x:c r="K55" s="1"/>
      <x:c r="L55" s="1"/>
    </x:row>
    <x:row r="56" ht="22" customHeight="1">
      <x:c r="A56" s="1"/>
      <x:c r="B56" s="1"/>
      <x:c r="C56" s="1"/>
      <x:c r="D56" s="4"/>
      <x:c r="E56" s="4"/>
      <x:c r="F56" s="4"/>
      <x:c r="G56" s="4"/>
      <x:c r="H56" s="4"/>
      <x:c r="I56" s="4"/>
      <x:c r="J56" s="1"/>
      <x:c r="K56" s="1"/>
      <x:c r="L56" s="1"/>
    </x:row>
    <x:row r="57" ht="22" customHeight="1">
      <x:c r="A57" s="1"/>
      <x:c r="B57" s="1"/>
      <x:c r="C57" s="1"/>
      <x:c r="D57" s="4"/>
      <x:c r="E57" s="4"/>
      <x:c r="F57" s="4"/>
      <x:c r="G57" s="4"/>
      <x:c r="H57" s="4"/>
      <x:c r="I57" s="4"/>
      <x:c r="J57" s="1"/>
      <x:c r="K57" s="1"/>
      <x:c r="L57" s="1"/>
    </x:row>
    <x:row r="58" ht="22" customHeight="1">
      <x:c r="A58" s="1"/>
      <x:c r="B58" s="1"/>
      <x:c r="C58" s="1"/>
      <x:c r="D58" s="4"/>
      <x:c r="E58" s="4"/>
      <x:c r="F58" s="4"/>
      <x:c r="G58" s="4"/>
      <x:c r="H58" s="4"/>
      <x:c r="I58" s="4"/>
      <x:c r="J58" s="1"/>
      <x:c r="K58" s="1"/>
      <x:c r="L58" s="1"/>
    </x:row>
    <x:row r="59" ht="22" customHeight="1">
      <x:c r="A59" s="1"/>
      <x:c r="B59" s="1"/>
      <x:c r="C59" s="1"/>
      <x:c r="D59" s="4"/>
      <x:c r="E59" s="4"/>
      <x:c r="F59" s="4"/>
      <x:c r="G59" s="4"/>
      <x:c r="H59" s="4"/>
      <x:c r="I59" s="4"/>
      <x:c r="J59" s="1"/>
      <x:c r="K59" s="1"/>
      <x:c r="L59" s="1"/>
    </x:row>
    <x:row r="60" ht="22" customHeight="1">
      <x:c r="A60" s="1"/>
      <x:c r="B60" s="1"/>
      <x:c r="C60" s="1"/>
      <x:c r="D60" s="4"/>
      <x:c r="E60" s="4"/>
      <x:c r="F60" s="4"/>
      <x:c r="G60" s="4"/>
      <x:c r="H60" s="4"/>
      <x:c r="I60" s="4"/>
      <x:c r="J60" s="1"/>
      <x:c r="K60" s="1"/>
      <x:c r="L60" s="1"/>
    </x:row>
    <x:row r="61" ht="22" customHeight="1">
      <x:c r="A61" s="1"/>
      <x:c r="B61" s="1"/>
      <x:c r="C61" s="1"/>
      <x:c r="D61" s="4"/>
      <x:c r="E61" s="4"/>
      <x:c r="F61" s="4"/>
      <x:c r="G61" s="4"/>
      <x:c r="H61" s="4"/>
      <x:c r="I61" s="4"/>
      <x:c r="J61" s="1"/>
      <x:c r="K61" s="1"/>
      <x:c r="L61" s="1"/>
    </x:row>
    <x:row r="62" ht="22" customHeight="1">
      <x:c r="A62" s="1"/>
      <x:c r="B62" s="1"/>
      <x:c r="C62" s="1"/>
      <x:c r="D62" s="4"/>
      <x:c r="E62" s="4"/>
      <x:c r="F62" s="4"/>
      <x:c r="G62" s="4"/>
      <x:c r="H62" s="4"/>
      <x:c r="I62" s="4"/>
      <x:c r="J62" s="1"/>
      <x:c r="K62" s="1"/>
      <x:c r="L62" s="1"/>
    </x:row>
    <x:row r="63" ht="22" customHeight="1">
      <x:c r="A63" s="1"/>
      <x:c r="B63" s="1"/>
      <x:c r="C63" s="1"/>
      <x:c r="D63" s="4"/>
      <x:c r="E63" s="4"/>
      <x:c r="F63" s="4"/>
      <x:c r="G63" s="4"/>
      <x:c r="H63" s="4"/>
      <x:c r="I63" s="4"/>
      <x:c r="J63" s="1"/>
      <x:c r="K63" s="1"/>
      <x:c r="L63" s="1"/>
    </x:row>
    <x:row r="64" ht="22" customHeight="1">
      <x:c r="A64" s="1"/>
      <x:c r="B64" s="1"/>
      <x:c r="C64" s="1"/>
      <x:c r="D64" s="4"/>
      <x:c r="E64" s="4"/>
      <x:c r="F64" s="4"/>
      <x:c r="G64" s="4"/>
      <x:c r="H64" s="4"/>
      <x:c r="I64" s="4"/>
      <x:c r="J64" s="1"/>
      <x:c r="K64" s="1"/>
      <x:c r="L64" s="1"/>
    </x:row>
    <x:row r="65" ht="22" customHeight="1">
      <x:c r="A65" s="1"/>
      <x:c r="B65" s="1"/>
      <x:c r="C65" s="1"/>
      <x:c r="D65" s="4"/>
      <x:c r="E65" s="4"/>
      <x:c r="F65" s="4"/>
      <x:c r="G65" s="4"/>
      <x:c r="H65" s="4"/>
      <x:c r="I65" s="4"/>
      <x:c r="J65" s="1"/>
      <x:c r="K65" s="1"/>
      <x:c r="L65" s="1"/>
    </x:row>
    <x:row r="66" ht="22" customHeight="1">
      <x:c r="A66" s="1"/>
      <x:c r="B66" s="1"/>
      <x:c r="C66" s="1"/>
      <x:c r="D66" s="4"/>
      <x:c r="E66" s="4"/>
      <x:c r="F66" s="4"/>
      <x:c r="G66" s="4"/>
      <x:c r="H66" s="4"/>
      <x:c r="I66" s="4"/>
      <x:c r="J66" s="1"/>
      <x:c r="K66" s="1"/>
      <x:c r="L66" s="1"/>
    </x:row>
    <x:row r="67" ht="22" customHeight="1">
      <x:c r="A67" s="1"/>
      <x:c r="B67" s="1"/>
      <x:c r="C67" s="1"/>
      <x:c r="D67" s="4"/>
      <x:c r="E67" s="4"/>
      <x:c r="F67" s="4"/>
      <x:c r="G67" s="4"/>
      <x:c r="H67" s="4"/>
      <x:c r="I67" s="4"/>
      <x:c r="J67" s="1"/>
      <x:c r="K67" s="1"/>
      <x:c r="L67" s="1"/>
    </x:row>
    <x:row r="68" ht="22" customHeight="1">
      <x:c r="A68" s="1"/>
      <x:c r="B68" s="1"/>
      <x:c r="C68" s="1"/>
      <x:c r="D68" s="4"/>
      <x:c r="E68" s="4"/>
      <x:c r="F68" s="4"/>
      <x:c r="G68" s="4"/>
      <x:c r="H68" s="4"/>
      <x:c r="I68" s="4"/>
      <x:c r="J68" s="1"/>
      <x:c r="K68" s="1"/>
      <x:c r="L68" s="1"/>
    </x:row>
    <x:row r="69" ht="22" customHeight="1">
      <x:c r="A69" s="1"/>
      <x:c r="B69" s="1"/>
      <x:c r="C69" s="1"/>
      <x:c r="D69" s="4"/>
      <x:c r="E69" s="4"/>
      <x:c r="F69" s="4"/>
      <x:c r="G69" s="4"/>
      <x:c r="H69" s="4"/>
      <x:c r="I69" s="4"/>
      <x:c r="J69" s="1"/>
      <x:c r="K69" s="1"/>
      <x:c r="L69" s="1"/>
    </x:row>
    <x:row r="70" ht="22" customHeight="1">
      <x:c r="A70" s="1"/>
      <x:c r="B70" s="1"/>
      <x:c r="C70" s="1"/>
      <x:c r="D70" s="4"/>
      <x:c r="E70" s="4"/>
      <x:c r="F70" s="4"/>
      <x:c r="G70" s="4"/>
      <x:c r="H70" s="4"/>
      <x:c r="I70" s="4"/>
      <x:c r="J70" s="1"/>
      <x:c r="K70" s="1"/>
      <x:c r="L70" s="1"/>
    </x:row>
    <x:row r="71" ht="22" customHeight="1">
      <x:c r="A71" s="1"/>
      <x:c r="B71" s="1"/>
      <x:c r="C71" s="1"/>
      <x:c r="D71" s="4"/>
      <x:c r="E71" s="4"/>
      <x:c r="F71" s="4"/>
      <x:c r="G71" s="4"/>
      <x:c r="H71" s="4"/>
      <x:c r="I71" s="4"/>
      <x:c r="J71" s="1"/>
      <x:c r="K71" s="1"/>
      <x:c r="L71" s="1"/>
    </x:row>
    <x:row r="72" ht="22" customHeight="1">
      <x:c r="A72" s="1"/>
      <x:c r="B72" s="1"/>
      <x:c r="C72" s="1"/>
      <x:c r="D72" s="4"/>
      <x:c r="E72" s="4"/>
      <x:c r="F72" s="4"/>
      <x:c r="G72" s="4"/>
      <x:c r="H72" s="4"/>
      <x:c r="I72" s="4"/>
      <x:c r="J72" s="1"/>
      <x:c r="K72" s="1"/>
      <x:c r="L72" s="1"/>
    </x:row>
    <x:row r="73" ht="22" customHeight="1">
      <x:c r="A73" s="1"/>
      <x:c r="B73" s="1"/>
      <x:c r="C73" s="1"/>
      <x:c r="D73" s="4"/>
      <x:c r="E73" s="4"/>
      <x:c r="F73" s="4"/>
      <x:c r="G73" s="4"/>
      <x:c r="H73" s="4"/>
      <x:c r="I73" s="4"/>
      <x:c r="J73" s="1"/>
      <x:c r="K73" s="1"/>
      <x:c r="L73" s="1"/>
    </x:row>
    <x:row r="74" ht="22" customHeight="1">
      <x:c r="A74" s="1"/>
      <x:c r="B74" s="1"/>
      <x:c r="C74" s="1"/>
      <x:c r="D74" s="4"/>
      <x:c r="E74" s="4"/>
      <x:c r="F74" s="4"/>
      <x:c r="G74" s="4"/>
      <x:c r="H74" s="4"/>
      <x:c r="I74" s="4"/>
      <x:c r="J74" s="1"/>
      <x:c r="K74" s="1"/>
      <x:c r="L74" s="1"/>
    </x:row>
    <x:row r="75" ht="22" customHeight="1">
      <x:c r="A75" s="1"/>
      <x:c r="B75" s="1"/>
      <x:c r="C75" s="1"/>
      <x:c r="D75" s="4"/>
      <x:c r="E75" s="4"/>
      <x:c r="F75" s="4"/>
      <x:c r="G75" s="4"/>
      <x:c r="H75" s="4"/>
      <x:c r="I75" s="4"/>
      <x:c r="J75" s="1"/>
      <x:c r="K75" s="1"/>
      <x:c r="L75" s="1"/>
    </x:row>
    <x:row r="76" ht="22" customHeight="1">
      <x:c r="A76" s="1"/>
      <x:c r="B76" s="1"/>
      <x:c r="C76" s="1"/>
      <x:c r="D76" s="4"/>
      <x:c r="E76" s="4"/>
      <x:c r="F76" s="4"/>
      <x:c r="G76" s="4"/>
      <x:c r="H76" s="4"/>
      <x:c r="I76" s="4"/>
      <x:c r="J76" s="1"/>
      <x:c r="K76" s="1"/>
      <x:c r="L76" s="1"/>
    </x:row>
    <x:row r="77" ht="22" customHeight="1">
      <x:c r="A77" s="1"/>
      <x:c r="B77" s="1"/>
      <x:c r="C77" s="1"/>
      <x:c r="D77" s="4"/>
      <x:c r="E77" s="4"/>
      <x:c r="F77" s="4"/>
      <x:c r="G77" s="4"/>
      <x:c r="H77" s="4"/>
      <x:c r="I77" s="4"/>
      <x:c r="J77" s="1"/>
      <x:c r="K77" s="1"/>
      <x:c r="L77" s="1"/>
    </x:row>
    <x:row r="78" ht="22" customHeight="1">
      <x:c r="A78" s="1"/>
      <x:c r="B78" s="1"/>
      <x:c r="C78" s="1"/>
      <x:c r="D78" s="4"/>
      <x:c r="E78" s="4"/>
      <x:c r="F78" s="4"/>
      <x:c r="G78" s="4"/>
      <x:c r="H78" s="4"/>
      <x:c r="I78" s="4"/>
      <x:c r="J78" s="1"/>
      <x:c r="K78" s="1"/>
      <x:c r="L78" s="1"/>
    </x:row>
    <x:row r="79" ht="22" customHeight="1">
      <x:c r="A79" s="1"/>
      <x:c r="B79" s="1"/>
      <x:c r="C79" s="1"/>
      <x:c r="D79" s="4"/>
      <x:c r="E79" s="4"/>
      <x:c r="F79" s="4"/>
      <x:c r="G79" s="4"/>
      <x:c r="H79" s="4"/>
      <x:c r="I79" s="4"/>
      <x:c r="J79" s="1"/>
      <x:c r="K79" s="1"/>
      <x:c r="L79" s="1"/>
    </x:row>
    <x:row r="80" ht="22" customHeight="1">
      <x:c r="A80" s="1"/>
      <x:c r="B80" s="1"/>
      <x:c r="C80" s="1"/>
      <x:c r="D80" s="4"/>
      <x:c r="E80" s="4"/>
      <x:c r="F80" s="4"/>
      <x:c r="G80" s="4"/>
      <x:c r="H80" s="4"/>
      <x:c r="I80" s="4"/>
      <x:c r="J80" s="1"/>
      <x:c r="K80" s="1"/>
      <x:c r="L80" s="1"/>
    </x:row>
    <x:row r="81" ht="22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</x:row>
    <x:row r="82" ht="22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</x:row>
    <x:row r="83" ht="22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</x:row>
    <x:row r="84" ht="22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</x:row>
    <x:row r="85" ht="22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7893A8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33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26" hidden="0" customWidth="1"/>
    <x:col min="11" max="11" width="26" hidden="0" customWidth="1"/>
    <x:col min="12" max="12" width="26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2" customHeight="1">
      <x:c r="A2" s="1"/>
      <x:c r="B2" s="1"/>
      <x:c r="C2" s="2" t="str">
        <x:v>Inputs</x:v>
      </x:c>
      <x:c r="D2" s="2"/>
      <x:c r="E2" s="2"/>
      <x:c r="F2" s="2"/>
      <x:c r="G2" s="2"/>
      <x:c r="H2" s="2"/>
      <x:c r="I2" s="2"/>
      <x:c r="J2" s="1"/>
      <x:c r="K2" s="1"/>
      <x:c r="L2" s="1"/>
    </x:row>
    <x:row r="3" ht="22" customHeight="1">
      <x:c r="A3" s="1"/>
      <x:c r="B3" s="1"/>
      <x:c r="C3" s="1" t="str">
        <x:v>Case selected</x:v>
      </x:c>
      <x:c r="D3" s="1" t="str">
        <x:v>Base</x:v>
      </x:c>
      <x:c r="E3" s="1"/>
      <x:c r="F3" s="1"/>
      <x:c r="G3" s="1"/>
      <x:c r="H3" s="1"/>
      <x:c r="I3" s="1"/>
      <x:c r="J3" s="1"/>
      <x:c r="K3" s="1"/>
      <x:c r="L3" s="1"/>
    </x:row>
    <x:row r="4" ht="22" customHeight="1">
      <x:c r="A4" s="1"/>
      <x:c r="B4" s="1"/>
      <x:c r="C4" s="1" t="str">
        <x:v>Case selected</x:v>
      </x:c>
      <x:c r="D4" s="3" t="str">
        <x:v>One control in D3</x:v>
      </x:c>
      <x:c r="E4" s="1"/>
      <x:c r="F4" s="1"/>
      <x:c r="G4" s="1"/>
      <x:c r="H4" s="1"/>
      <x:c r="I4" s="1"/>
      <x:c r="J4" s="1"/>
      <x:c r="K4" s="1"/>
      <x:c r="L4" s="1"/>
    </x:row>
    <x:row r="5" ht="22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 ht="22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</x:row>
    <x:row r="7" ht="22" customHeight="1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</x:row>
    <x:row r="8" ht="27" customHeight="1">
      <x:c r="A8" s="1"/>
      <x:c r="B8" s="1"/>
      <x:c r="C8" s="18" t="str">
        <x:v>Input</x:v>
      </x:c>
      <x:c r="D8" s="19" t="str">
        <x:v>Active</x:v>
      </x:c>
      <x:c r="E8" s="19" t="str">
        <x:v>Bear</x:v>
      </x:c>
      <x:c r="F8" s="19" t="str">
        <x:v>Base</x:v>
      </x:c>
      <x:c r="G8" s="19" t="str">
        <x:v>Bull</x:v>
      </x:c>
      <x:c r="H8" s="4"/>
      <x:c r="I8" s="4"/>
      <x:c r="J8" s="1"/>
      <x:c r="K8" s="1"/>
      <x:c r="L8" s="1"/>
    </x:row>
    <x:row r="9" ht="22" customHeight="1">
      <x:c r="A9" s="1"/>
      <x:c r="B9" s="1"/>
      <x:c r="C9" s="1" t="str">
        <x:v>wacc</x:v>
      </x:c>
      <x:c r="D9" s="5" t="n">
        <x:f>IF($D$3="Bear",E9,IF($D$3="Bull",G9,F9))</x:f>
        <x:v>0.1</x:v>
      </x:c>
      <x:c r="E9" s="6" t="n">
        <x:v>0.115</x:v>
      </x:c>
      <x:c r="F9" s="6" t="n">
        <x:v>0.1</x:v>
      </x:c>
      <x:c r="G9" s="6" t="n">
        <x:v>0.095</x:v>
      </x:c>
      <x:c r="H9" s="4"/>
      <x:c r="I9" s="4"/>
      <x:c r="J9" s="1"/>
      <x:c r="K9" s="1"/>
      <x:c r="L9" s="1"/>
    </x:row>
    <x:row r="10" ht="22" customHeight="1">
      <x:c r="A10" s="1"/>
      <x:c r="B10" s="1"/>
      <x:c r="C10" s="1" t="str">
        <x:v>ke</x:v>
      </x:c>
      <x:c r="D10" s="5" t="n">
        <x:f>IF($D$3="Bear",E10,IF($D$3="Bull",G10,F10))</x:f>
        <x:v>0.105</x:v>
      </x:c>
      <x:c r="E10" s="6" t="n">
        <x:v>0.115</x:v>
      </x:c>
      <x:c r="F10" s="6" t="n">
        <x:v>0.105</x:v>
      </x:c>
      <x:c r="G10" s="6" t="n">
        <x:v>0.1</x:v>
      </x:c>
      <x:c r="H10" s="4"/>
      <x:c r="I10" s="4"/>
      <x:c r="J10" s="1"/>
      <x:c r="K10" s="1"/>
      <x:c r="L10" s="1"/>
    </x:row>
    <x:row r="11" ht="22" customHeight="1">
      <x:c r="A11" s="1"/>
      <x:c r="B11" s="1"/>
      <x:c r="C11" s="1" t="str">
        <x:v>g</x:v>
      </x:c>
      <x:c r="D11" s="5" t="n">
        <x:f>IF($D$3="Bear",E11,IF($D$3="Bull",G11,F11))</x:f>
        <x:v>0.02</x:v>
      </x:c>
      <x:c r="E11" s="6" t="n">
        <x:v>0.015</x:v>
      </x:c>
      <x:c r="F11" s="6" t="n">
        <x:v>0.02</x:v>
      </x:c>
      <x:c r="G11" s="6" t="n">
        <x:v>0.02</x:v>
      </x:c>
      <x:c r="H11" s="4"/>
      <x:c r="I11" s="4"/>
      <x:c r="J11" s="1"/>
      <x:c r="K11" s="1"/>
      <x:c r="L11" s="1"/>
    </x:row>
    <x:row r="12" ht="22" customHeight="1">
      <x:c r="A12" s="1"/>
      <x:c r="B12" s="1"/>
      <x:c r="C12" s="1" t="str">
        <x:v>roic</x:v>
      </x:c>
      <x:c r="D12" s="5" t="n">
        <x:f>IF($D$3="Bear",E12,IF($D$3="Bull",G12,F12))</x:f>
        <x:v>0.14</x:v>
      </x:c>
      <x:c r="E12" s="6" t="n">
        <x:v>0.12</x:v>
      </x:c>
      <x:c r="F12" s="6" t="n">
        <x:v>0.14</x:v>
      </x:c>
      <x:c r="G12" s="6" t="n">
        <x:v>0.16</x:v>
      </x:c>
      <x:c r="H12" s="4"/>
      <x:c r="I12" s="4"/>
      <x:c r="J12" s="1"/>
      <x:c r="K12" s="1"/>
      <x:c r="L12" s="1"/>
    </x:row>
    <x:row r="13" ht="22" customHeight="1">
      <x:c r="A13" s="1"/>
      <x:c r="B13" s="1"/>
      <x:c r="C13" s="1" t="str">
        <x:v>roe</x:v>
      </x:c>
      <x:c r="D13" s="5" t="n">
        <x:f>IF($D$3="Bear",E13,IF($D$3="Bull",G13,F13))</x:f>
        <x:v>0.13</x:v>
      </x:c>
      <x:c r="E13" s="6" t="n">
        <x:v>0.11</x:v>
      </x:c>
      <x:c r="F13" s="6" t="n">
        <x:v>0.13</x:v>
      </x:c>
      <x:c r="G13" s="6" t="n">
        <x:v>0.15</x:v>
      </x:c>
      <x:c r="H13" s="4"/>
      <x:c r="I13" s="4"/>
      <x:c r="J13" s="1"/>
      <x:c r="K13" s="1"/>
      <x:c r="L13" s="1"/>
    </x:row>
    <x:row r="14" ht="22" customHeight="1">
      <x:c r="A14" s="1"/>
      <x:c r="B14" s="1"/>
      <x:c r="C14" s="1" t="str">
        <x:v>payout</x:v>
      </x:c>
      <x:c r="D14" s="5" t="n">
        <x:f>IF($D$3="Bear",E14,IF($D$3="Bull",G14,F14))</x:f>
        <x:v>0.35</x:v>
      </x:c>
      <x:c r="E14" s="6" t="n">
        <x:v>0.35</x:v>
      </x:c>
      <x:c r="F14" s="6" t="n">
        <x:v>0.35</x:v>
      </x:c>
      <x:c r="G14" s="6" t="n">
        <x:v>0.35</x:v>
      </x:c>
      <x:c r="H14" s="4"/>
      <x:c r="I14" s="4"/>
      <x:c r="J14" s="1"/>
      <x:c r="K14" s="1"/>
      <x:c r="L14" s="1"/>
    </x:row>
    <x:row r="15" ht="22" customHeight="1">
      <x:c r="A15" s="1"/>
      <x:c r="B15" s="1"/>
      <x:c r="C15" s="1" t="str">
        <x:v>pergrowth</x:v>
      </x:c>
      <x:c r="D15" s="5" t="n">
        <x:f>IF($D$3="Bear",E15,IF($D$3="Bull",G15,F15))</x:f>
        <x:v>0.07</x:v>
      </x:c>
      <x:c r="E15" s="6" t="n">
        <x:v>0.03</x:v>
      </x:c>
      <x:c r="F15" s="6" t="n">
        <x:v>0.07</x:v>
      </x:c>
      <x:c r="G15" s="6" t="n">
        <x:v>0.1</x:v>
      </x:c>
      <x:c r="H15" s="4"/>
      <x:c r="I15" s="4"/>
      <x:c r="J15" s="1"/>
      <x:c r="K15" s="1"/>
      <x:c r="L15" s="1"/>
    </x:row>
    <x:row r="16" ht="22" customHeight="1">
      <x:c r="A16" s="1"/>
      <x:c r="B16" s="1"/>
      <x:c r="C16" s="1" t="str">
        <x:v>perroe</x:v>
      </x:c>
      <x:c r="D16" s="5" t="n">
        <x:f>IF($D$3="Bear",E16,IF($D$3="Bull",G16,F16))</x:f>
        <x:v>0.2</x:v>
      </x:c>
      <x:c r="E16" s="6" t="n">
        <x:v>0.15</x:v>
      </x:c>
      <x:c r="F16" s="6" t="n">
        <x:v>0.2</x:v>
      </x:c>
      <x:c r="G16" s="6" t="n">
        <x:v>0.23</x:v>
      </x:c>
      <x:c r="H16" s="4"/>
      <x:c r="I16" s="4"/>
      <x:c r="J16" s="1"/>
      <x:c r="K16" s="1"/>
      <x:c r="L16" s="1"/>
    </x:row>
    <x:row r="17" ht="22" customHeight="1">
      <x:c r="A17" s="1"/>
      <x:c r="B17" s="1"/>
      <x:c r="C17" s="1" t="str">
        <x:v>permargin</x:v>
      </x:c>
      <x:c r="D17" s="5" t="n">
        <x:f>IF($D$3="Bear",E17,IF($D$3="Bull",G17,F17))</x:f>
        <x:v>0.3</x:v>
      </x:c>
      <x:c r="E17" s="6" t="n">
        <x:v>0.27</x:v>
      </x:c>
      <x:c r="F17" s="6" t="n">
        <x:v>0.3</x:v>
      </x:c>
      <x:c r="G17" s="6" t="n">
        <x:v>0.32</x:v>
      </x:c>
      <x:c r="H17" s="4"/>
      <x:c r="I17" s="4"/>
      <x:c r="J17" s="1"/>
      <x:c r="K17" s="1"/>
      <x:c r="L17" s="1"/>
    </x:row>
    <x:row r="18" ht="22" customHeight="1">
      <x:c r="A18" s="1"/>
      <x:c r="B18" s="1"/>
      <x:c r="C18" s="1" t="str">
        <x:v>rev26</x:v>
      </x:c>
      <x:c r="D18" s="4" t="n">
        <x:f>IF($D$3="Bear",E18,IF($D$3="Bull",G18,F18))</x:f>
        <x:v>380.5</x:v>
      </x:c>
      <x:c r="E18" s="7" t="n">
        <x:v>360</x:v>
      </x:c>
      <x:c r="F18" s="7" t="n">
        <x:v>380.5</x:v>
      </x:c>
      <x:c r="G18" s="7" t="n">
        <x:v>400</x:v>
      </x:c>
      <x:c r="H18" s="4"/>
      <x:c r="I18" s="4"/>
      <x:c r="J18" s="1"/>
      <x:c r="K18" s="1"/>
      <x:c r="L18" s="1"/>
    </x:row>
    <x:row r="19" ht="22" customHeight="1">
      <x:c r="A19" s="1"/>
      <x:c r="B19" s="1"/>
      <x:c r="C19" s="1" t="str">
        <x:v>tax</x:v>
      </x:c>
      <x:c r="D19" s="5" t="n">
        <x:f>IF($D$3="Bear",E19,IF($D$3="Bull",G19,F19))</x:f>
        <x:v>0.24</x:v>
      </x:c>
      <x:c r="E19" s="6" t="n">
        <x:v>0.24</x:v>
      </x:c>
      <x:c r="F19" s="6" t="n">
        <x:v>0.24</x:v>
      </x:c>
      <x:c r="G19" s="6" t="n">
        <x:v>0.24</x:v>
      </x:c>
      <x:c r="H19" s="4"/>
      <x:c r="I19" s="4"/>
      <x:c r="J19" s="1"/>
      <x:c r="K19" s="1"/>
      <x:c r="L19" s="1"/>
    </x:row>
    <x:row r="20" ht="22" customHeight="1">
      <x:c r="A20" s="1"/>
      <x:c r="B20" s="1"/>
      <x:c r="C20" s="1" t="str">
        <x:v>interest</x:v>
      </x:c>
      <x:c r="D20" s="5" t="n">
        <x:f>IF($D$3="Bear",E20,IF($D$3="Bull",G20,F20))</x:f>
        <x:v>0.025</x:v>
      </x:c>
      <x:c r="E20" s="6" t="n">
        <x:v>0.025</x:v>
      </x:c>
      <x:c r="F20" s="6" t="n">
        <x:v>0.025</x:v>
      </x:c>
      <x:c r="G20" s="6" t="n">
        <x:v>0.025</x:v>
      </x:c>
      <x:c r="H20" s="4"/>
      <x:c r="I20" s="4"/>
      <x:c r="J20" s="1"/>
      <x:c r="K20" s="1"/>
      <x:c r="L20" s="1"/>
    </x:row>
    <x:row r="21" ht="22" customHeight="1">
      <x:c r="A21" s="1"/>
      <x:c r="B21" s="1"/>
      <x:c r="C21" s="1" t="str">
        <x:v>h2div</x:v>
      </x:c>
      <x:c r="D21" s="4" t="n">
        <x:f>IF($D$3="Bear",E21,IF($D$3="Bull",G21,F21))</x:f>
        <x:v>8</x:v>
      </x:c>
      <x:c r="E21" s="7" t="n">
        <x:v>8</x:v>
      </x:c>
      <x:c r="F21" s="7" t="n">
        <x:v>8</x:v>
      </x:c>
      <x:c r="G21" s="7" t="n">
        <x:v>8</x:v>
      </x:c>
      <x:c r="H21" s="4"/>
      <x:c r="I21" s="4"/>
      <x:c r="J21" s="1"/>
      <x:c r="K21" s="1"/>
      <x:c r="L21" s="1"/>
    </x:row>
    <x:row r="22" ht="22" customHeight="1">
      <x:c r="A22" s="1"/>
      <x:c r="B22" s="1"/>
      <x:c r="C22" s="1" t="str">
        <x:v>h2buyback</x:v>
      </x:c>
      <x:c r="D22" s="4" t="n">
        <x:f>IF($D$3="Bear",E22,IF($D$3="Bull",G22,F22))</x:f>
        <x:v>0</x:v>
      </x:c>
      <x:c r="E22" s="7" t="n">
        <x:v>0</x:v>
      </x:c>
      <x:c r="F22" s="7" t="n">
        <x:v>0</x:v>
      </x:c>
      <x:c r="G22" s="7" t="n">
        <x:v>0</x:v>
      </x:c>
      <x:c r="H22" s="4"/>
      <x:c r="I22" s="4"/>
      <x:c r="J22" s="1"/>
      <x:c r="K22" s="1"/>
      <x:c r="L22" s="1"/>
    </x:row>
    <x:row r="23" ht="22" customHeight="1">
      <x:c r="A23" s="1"/>
      <x:c r="B23" s="1"/>
      <x:c r="C23" s="1" t="str">
        <x:v>capital</x:v>
      </x:c>
      <x:c r="D23" s="4" t="n">
        <x:f>IF($D$3="Bear",E23,IF($D$3="Bull",G23,F23))</x:f>
        <x:v>0</x:v>
      </x:c>
      <x:c r="E23" s="7" t="n">
        <x:v>0</x:v>
      </x:c>
      <x:c r="F23" s="7" t="n">
        <x:v>0</x:v>
      </x:c>
      <x:c r="G23" s="7" t="n">
        <x:v>0</x:v>
      </x:c>
      <x:c r="H23" s="4"/>
      <x:c r="I23" s="4"/>
      <x:c r="J23" s="1"/>
      <x:c r="K23" s="1"/>
      <x:c r="L23" s="1"/>
    </x:row>
    <x:row r="24" ht="22" customHeight="1">
      <x:c r="A24" s="1"/>
      <x:c r="B24" s="1"/>
      <x:c r="C24" s="1" t="str">
        <x:v>addshares</x:v>
      </x:c>
      <x:c r="D24" s="4" t="n">
        <x:f>IF($D$3="Bear",E24,IF($D$3="Bull",G24,F24))</x:f>
        <x:v>0</x:v>
      </x:c>
      <x:c r="E24" s="7" t="n">
        <x:v>0</x:v>
      </x:c>
      <x:c r="F24" s="7" t="n">
        <x:v>0</x:v>
      </x:c>
      <x:c r="G24" s="7" t="n">
        <x:v>0</x:v>
      </x:c>
      <x:c r="H24" s="4"/>
      <x:c r="I24" s="4"/>
      <x:c r="J24" s="1"/>
      <x:c r="K24" s="1"/>
      <x:c r="L24" s="1"/>
    </x:row>
    <x:row r="25" ht="22" customHeight="1">
      <x:c r="A25" s="1"/>
      <x:c r="B25" s="1"/>
      <x:c r="C25" s="1" t="str">
        <x:v>reference_price</x:v>
      </x:c>
      <x:c r="D25" s="4" t="n">
        <x:f>IF($D$3="Bear",E25,IF($D$3="Bull",G25,F25))</x:f>
        <x:v>238000</x:v>
      </x:c>
      <x:c r="E25" s="7" t="n">
        <x:v>238000</x:v>
      </x:c>
      <x:c r="F25" s="7" t="n">
        <x:v>238000</x:v>
      </x:c>
      <x:c r="G25" s="7" t="n">
        <x:v>238000</x:v>
      </x:c>
      <x:c r="H25" s="4"/>
      <x:c r="I25" s="4"/>
      <x:c r="J25" s="1"/>
      <x:c r="K25" s="1"/>
      <x:c r="L25" s="1"/>
    </x:row>
    <x:row r="26" ht="22" customHeight="1">
      <x:c r="A26" s="1"/>
      <x:c r="B26" s="1"/>
      <x:c r="C26" s="1"/>
      <x:c r="D26" s="4"/>
      <x:c r="E26" s="4"/>
      <x:c r="F26" s="4"/>
      <x:c r="G26" s="4"/>
      <x:c r="H26" s="4"/>
      <x:c r="I26" s="4"/>
      <x:c r="J26" s="1"/>
      <x:c r="K26" s="1"/>
      <x:c r="L26" s="1"/>
    </x:row>
    <x:row r="27" ht="22" customHeight="1">
      <x:c r="A27" s="1"/>
      <x:c r="B27" s="1"/>
      <x:c r="C27" s="1"/>
      <x:c r="D27" s="4"/>
      <x:c r="E27" s="4"/>
      <x:c r="F27" s="4"/>
      <x:c r="G27" s="4"/>
      <x:c r="H27" s="4"/>
      <x:c r="I27" s="4"/>
      <x:c r="J27" s="1"/>
      <x:c r="K27" s="1"/>
      <x:c r="L27" s="1"/>
    </x:row>
    <x:row r="28" ht="22" customHeight="1">
      <x:c r="A28" s="1"/>
      <x:c r="B28" s="1"/>
      <x:c r="C28" s="1"/>
      <x:c r="D28" s="4"/>
      <x:c r="E28" s="4"/>
      <x:c r="F28" s="4"/>
      <x:c r="G28" s="4"/>
      <x:c r="H28" s="4"/>
      <x:c r="I28" s="4"/>
      <x:c r="J28" s="1"/>
      <x:c r="K28" s="1"/>
      <x:c r="L28" s="1"/>
    </x:row>
    <x:row r="29" ht="22" customHeight="1">
      <x:c r="A29" s="1"/>
      <x:c r="B29" s="1"/>
      <x:c r="C29" s="1"/>
      <x:c r="D29" s="4"/>
      <x:c r="E29" s="4"/>
      <x:c r="F29" s="4"/>
      <x:c r="G29" s="4"/>
      <x:c r="H29" s="4"/>
      <x:c r="I29" s="4"/>
      <x:c r="J29" s="1"/>
      <x:c r="K29" s="1"/>
      <x:c r="L29" s="1"/>
    </x:row>
    <x:row r="30" ht="27" customHeight="1">
      <x:c r="A30" s="1"/>
      <x:c r="B30" s="1"/>
      <x:c r="C30" s="18"/>
      <x:c r="D30" s="19" t="n">
        <x:v>2026</x:v>
      </x:c>
      <x:c r="E30" s="19" t="n">
        <x:v>2027</x:v>
      </x:c>
      <x:c r="F30" s="19" t="n">
        <x:v>2028</x:v>
      </x:c>
      <x:c r="G30" s="19" t="n">
        <x:v>2029</x:v>
      </x:c>
      <x:c r="H30" s="19" t="n">
        <x:v>2030</x:v>
      </x:c>
      <x:c r="I30" s="19" t="n">
        <x:v>2031</x:v>
      </x:c>
      <x:c r="J30" s="1"/>
      <x:c r="K30" s="1"/>
      <x:c r="L30" s="1"/>
    </x:row>
    <x:row r="31" ht="22" customHeight="1">
      <x:c r="A31" s="1"/>
      <x:c r="B31" s="1"/>
      <x:c r="C31" s="1"/>
      <x:c r="D31" s="4"/>
      <x:c r="E31" s="4"/>
      <x:c r="F31" s="4"/>
      <x:c r="G31" s="4"/>
      <x:c r="H31" s="4"/>
      <x:c r="I31" s="4"/>
      <x:c r="J31" s="1"/>
      <x:c r="K31" s="1"/>
      <x:c r="L31" s="1"/>
    </x:row>
    <x:row r="32" ht="22" customHeight="1">
      <x:c r="A32" s="1"/>
      <x:c r="B32" s="1"/>
      <x:c r="C32" s="1" t="str">
        <x:v>growth Active</x:v>
      </x:c>
      <x:c r="D32" s="5" t="n">
        <x:f>IF($D$3="Bear",D33,IF($D$3="Bull",D35,D34))</x:f>
        <x:v>0</x:v>
      </x:c>
      <x:c r="E32" s="5" t="n">
        <x:f>IF($D$3="Bear",E33,IF($D$3="Bull",E35,E34))</x:f>
        <x:v>0.1</x:v>
      </x:c>
      <x:c r="F32" s="5" t="n">
        <x:f>IF($D$3="Bear",F33,IF($D$3="Bull",F35,F34))</x:f>
        <x:v>0.09</x:v>
      </x:c>
      <x:c r="G32" s="5" t="n">
        <x:f>IF($D$3="Bear",G33,IF($D$3="Bull",G35,G34))</x:f>
        <x:v>0.08</x:v>
      </x:c>
      <x:c r="H32" s="5" t="n">
        <x:f>IF($D$3="Bear",H33,IF($D$3="Bull",H35,H34))</x:f>
        <x:v>0.06</x:v>
      </x:c>
      <x:c r="I32" s="5" t="n">
        <x:f>IF($D$3="Bear",I33,IF($D$3="Bull",I35,I34))</x:f>
        <x:v>0.05</x:v>
      </x:c>
      <x:c r="J32" s="1"/>
      <x:c r="K32" s="1"/>
      <x:c r="L32" s="1"/>
    </x:row>
    <x:row r="33" ht="22" customHeight="1">
      <x:c r="A33" s="1"/>
      <x:c r="B33" s="1"/>
      <x:c r="C33" s="1" t="str">
        <x:v>Bear</x:v>
      </x:c>
      <x:c r="D33" s="6" t="n">
        <x:v>0</x:v>
      </x:c>
      <x:c r="E33" s="6" t="n">
        <x:v>0.04</x:v>
      </x:c>
      <x:c r="F33" s="6" t="n">
        <x:v>0.03</x:v>
      </x:c>
      <x:c r="G33" s="6" t="n">
        <x:v>0.03</x:v>
      </x:c>
      <x:c r="H33" s="6" t="n">
        <x:v>0.03</x:v>
      </x:c>
      <x:c r="I33" s="6" t="n">
        <x:v>0.03</x:v>
      </x:c>
      <x:c r="J33" s="1"/>
      <x:c r="K33" s="1"/>
      <x:c r="L33" s="1"/>
    </x:row>
    <x:row r="34" ht="22" customHeight="1">
      <x:c r="A34" s="1"/>
      <x:c r="B34" s="1"/>
      <x:c r="C34" s="1" t="str">
        <x:v>Base</x:v>
      </x:c>
      <x:c r="D34" s="6" t="n">
        <x:v>0</x:v>
      </x:c>
      <x:c r="E34" s="6" t="n">
        <x:v>0.1</x:v>
      </x:c>
      <x:c r="F34" s="6" t="n">
        <x:v>0.09</x:v>
      </x:c>
      <x:c r="G34" s="6" t="n">
        <x:v>0.08</x:v>
      </x:c>
      <x:c r="H34" s="6" t="n">
        <x:v>0.06</x:v>
      </x:c>
      <x:c r="I34" s="6" t="n">
        <x:v>0.05</x:v>
      </x:c>
      <x:c r="J34" s="1"/>
      <x:c r="K34" s="1"/>
      <x:c r="L34" s="1"/>
    </x:row>
    <x:row r="35" ht="22" customHeight="1">
      <x:c r="A35" s="1"/>
      <x:c r="B35" s="1"/>
      <x:c r="C35" s="1" t="str">
        <x:v>Bull</x:v>
      </x:c>
      <x:c r="D35" s="6" t="n">
        <x:v>0</x:v>
      </x:c>
      <x:c r="E35" s="6" t="n">
        <x:v>0.15</x:v>
      </x:c>
      <x:c r="F35" s="6" t="n">
        <x:v>0.13</x:v>
      </x:c>
      <x:c r="G35" s="6" t="n">
        <x:v>0.1</x:v>
      </x:c>
      <x:c r="H35" s="6" t="n">
        <x:v>0.08</x:v>
      </x:c>
      <x:c r="I35" s="6" t="n">
        <x:v>0.06</x:v>
      </x:c>
      <x:c r="J35" s="1"/>
      <x:c r="K35" s="1"/>
      <x:c r="L35" s="1"/>
    </x:row>
    <x:row r="36" ht="22" customHeight="1">
      <x:c r="A36" s="1"/>
      <x:c r="B36" s="1"/>
      <x:c r="C36" s="1"/>
      <x:c r="D36" s="4"/>
      <x:c r="E36" s="4"/>
      <x:c r="F36" s="4"/>
      <x:c r="G36" s="4"/>
      <x:c r="H36" s="4"/>
      <x:c r="I36" s="4"/>
      <x:c r="J36" s="1"/>
      <x:c r="K36" s="1"/>
      <x:c r="L36" s="1"/>
    </x:row>
    <x:row r="37" ht="22" customHeight="1">
      <x:c r="A37" s="1"/>
      <x:c r="B37" s="1"/>
      <x:c r="C37" s="1" t="str">
        <x:v>margin Active</x:v>
      </x:c>
      <x:c r="D37" s="5" t="n">
        <x:f>IF($D$3="Bear",D38,IF($D$3="Bull",D40,D39))</x:f>
        <x:v>0.295</x:v>
      </x:c>
      <x:c r="E37" s="5" t="n">
        <x:f>IF($D$3="Bear",E38,IF($D$3="Bull",E40,E39))</x:f>
        <x:v>0.315</x:v>
      </x:c>
      <x:c r="F37" s="5" t="n">
        <x:f>IF($D$3="Bear",F38,IF($D$3="Bull",F40,F39))</x:f>
        <x:v>0.315</x:v>
      </x:c>
      <x:c r="G37" s="5" t="n">
        <x:f>IF($D$3="Bear",G38,IF($D$3="Bull",G40,G39))</x:f>
        <x:v>0.31</x:v>
      </x:c>
      <x:c r="H37" s="5" t="n">
        <x:f>IF($D$3="Bear",H38,IF($D$3="Bull",H40,H39))</x:f>
        <x:v>0.305</x:v>
      </x:c>
      <x:c r="I37" s="5" t="n">
        <x:f>IF($D$3="Bear",I38,IF($D$3="Bull",I40,I39))</x:f>
        <x:v>0.3</x:v>
      </x:c>
      <x:c r="J37" s="1"/>
      <x:c r="K37" s="1"/>
      <x:c r="L37" s="1"/>
    </x:row>
    <x:row r="38" ht="22" customHeight="1">
      <x:c r="A38" s="1"/>
      <x:c r="B38" s="1"/>
      <x:c r="C38" s="1" t="str">
        <x:v>Bear</x:v>
      </x:c>
      <x:c r="D38" s="6" t="n">
        <x:v>0.27</x:v>
      </x:c>
      <x:c r="E38" s="6" t="n">
        <x:v>0.28</x:v>
      </x:c>
      <x:c r="F38" s="6" t="n">
        <x:v>0.275</x:v>
      </x:c>
      <x:c r="G38" s="6" t="n">
        <x:v>0.27</x:v>
      </x:c>
      <x:c r="H38" s="6" t="n">
        <x:v>0.265</x:v>
      </x:c>
      <x:c r="I38" s="6" t="n">
        <x:v>0.26</x:v>
      </x:c>
      <x:c r="J38" s="1"/>
      <x:c r="K38" s="1"/>
      <x:c r="L38" s="1"/>
    </x:row>
    <x:row r="39" ht="22" customHeight="1">
      <x:c r="A39" s="1"/>
      <x:c r="B39" s="1"/>
      <x:c r="C39" s="1" t="str">
        <x:v>Base</x:v>
      </x:c>
      <x:c r="D39" s="6" t="n">
        <x:v>0.295</x:v>
      </x:c>
      <x:c r="E39" s="6" t="n">
        <x:v>0.315</x:v>
      </x:c>
      <x:c r="F39" s="6" t="n">
        <x:v>0.315</x:v>
      </x:c>
      <x:c r="G39" s="6" t="n">
        <x:v>0.31</x:v>
      </x:c>
      <x:c r="H39" s="6" t="n">
        <x:v>0.305</x:v>
      </x:c>
      <x:c r="I39" s="6" t="n">
        <x:v>0.3</x:v>
      </x:c>
      <x:c r="J39" s="1"/>
      <x:c r="K39" s="1"/>
      <x:c r="L39" s="1"/>
    </x:row>
    <x:row r="40" ht="22" customHeight="1">
      <x:c r="A40" s="1"/>
      <x:c r="B40" s="1"/>
      <x:c r="C40" s="1" t="str">
        <x:v>Bull</x:v>
      </x:c>
      <x:c r="D40" s="6" t="n">
        <x:v>0.31</x:v>
      </x:c>
      <x:c r="E40" s="6" t="n">
        <x:v>0.335</x:v>
      </x:c>
      <x:c r="F40" s="6" t="n">
        <x:v>0.335</x:v>
      </x:c>
      <x:c r="G40" s="6" t="n">
        <x:v>0.33</x:v>
      </x:c>
      <x:c r="H40" s="6" t="n">
        <x:v>0.325</x:v>
      </x:c>
      <x:c r="I40" s="6" t="n">
        <x:v>0.32</x:v>
      </x:c>
      <x:c r="J40" s="1"/>
      <x:c r="K40" s="1"/>
      <x:c r="L40" s="1"/>
    </x:row>
    <x:row r="41" ht="22" customHeight="1">
      <x:c r="A41" s="1"/>
      <x:c r="B41" s="1"/>
      <x:c r="C41" s="1"/>
      <x:c r="D41" s="4"/>
      <x:c r="E41" s="4"/>
      <x:c r="F41" s="4"/>
      <x:c r="G41" s="4"/>
      <x:c r="H41" s="4"/>
      <x:c r="I41" s="4"/>
      <x:c r="J41" s="1"/>
      <x:c r="K41" s="1"/>
      <x:c r="L41" s="1"/>
    </x:row>
    <x:row r="42" ht="22" customHeight="1">
      <x:c r="A42" s="1"/>
      <x:c r="B42" s="1"/>
      <x:c r="C42" s="1" t="str">
        <x:v>da Active</x:v>
      </x:c>
      <x:c r="D42" s="4" t="n">
        <x:f>IF($D$3="Bear",D43,IF($D$3="Bull",D45,D44))</x:f>
        <x:v>15.2</x:v>
      </x:c>
      <x:c r="E42" s="4" t="n">
        <x:f>IF($D$3="Bear",E43,IF($D$3="Bull",E45,E44))</x:f>
        <x:v>16</x:v>
      </x:c>
      <x:c r="F42" s="4" t="n">
        <x:f>IF($D$3="Bear",F43,IF($D$3="Bull",F45,F44))</x:f>
        <x:v>17</x:v>
      </x:c>
      <x:c r="G42" s="4" t="n">
        <x:f>IF($D$3="Bear",G43,IF($D$3="Bull",G45,G44))</x:f>
        <x:v>18</x:v>
      </x:c>
      <x:c r="H42" s="4" t="n">
        <x:f>IF($D$3="Bear",H43,IF($D$3="Bull",H45,H44))</x:f>
        <x:v>19</x:v>
      </x:c>
      <x:c r="I42" s="4" t="n">
        <x:f>IF($D$3="Bear",I43,IF($D$3="Bull",I45,I44))</x:f>
        <x:v>20</x:v>
      </x:c>
      <x:c r="J42" s="1"/>
      <x:c r="K42" s="1"/>
      <x:c r="L42" s="1"/>
    </x:row>
    <x:row r="43" ht="22" customHeight="1">
      <x:c r="A43" s="1"/>
      <x:c r="B43" s="1"/>
      <x:c r="C43" s="1" t="str">
        <x:v>Bear</x:v>
      </x:c>
      <x:c r="D43" s="7" t="n">
        <x:v>15</x:v>
      </x:c>
      <x:c r="E43" s="7" t="n">
        <x:v>16</x:v>
      </x:c>
      <x:c r="F43" s="7" t="n">
        <x:v>17</x:v>
      </x:c>
      <x:c r="G43" s="7" t="n">
        <x:v>18</x:v>
      </x:c>
      <x:c r="H43" s="7" t="n">
        <x:v>19</x:v>
      </x:c>
      <x:c r="I43" s="7" t="n">
        <x:v>20</x:v>
      </x:c>
      <x:c r="J43" s="1"/>
      <x:c r="K43" s="1"/>
      <x:c r="L43" s="1"/>
    </x:row>
    <x:row r="44" ht="22" customHeight="1">
      <x:c r="A44" s="1"/>
      <x:c r="B44" s="1"/>
      <x:c r="C44" s="1" t="str">
        <x:v>Base</x:v>
      </x:c>
      <x:c r="D44" s="7" t="n">
        <x:v>15.2</x:v>
      </x:c>
      <x:c r="E44" s="7" t="n">
        <x:v>16</x:v>
      </x:c>
      <x:c r="F44" s="7" t="n">
        <x:v>17</x:v>
      </x:c>
      <x:c r="G44" s="7" t="n">
        <x:v>18</x:v>
      </x:c>
      <x:c r="H44" s="7" t="n">
        <x:v>19</x:v>
      </x:c>
      <x:c r="I44" s="7" t="n">
        <x:v>20</x:v>
      </x:c>
      <x:c r="J44" s="1"/>
      <x:c r="K44" s="1"/>
      <x:c r="L44" s="1"/>
    </x:row>
    <x:row r="45" ht="22" customHeight="1">
      <x:c r="A45" s="1"/>
      <x:c r="B45" s="1"/>
      <x:c r="C45" s="1" t="str">
        <x:v>Bull</x:v>
      </x:c>
      <x:c r="D45" s="7" t="n">
        <x:v>15.2</x:v>
      </x:c>
      <x:c r="E45" s="7" t="n">
        <x:v>17</x:v>
      </x:c>
      <x:c r="F45" s="7" t="n">
        <x:v>19</x:v>
      </x:c>
      <x:c r="G45" s="7" t="n">
        <x:v>21</x:v>
      </x:c>
      <x:c r="H45" s="7" t="n">
        <x:v>23</x:v>
      </x:c>
      <x:c r="I45" s="7" t="n">
        <x:v>25</x:v>
      </x:c>
      <x:c r="J45" s="1"/>
      <x:c r="K45" s="1"/>
      <x:c r="L45" s="1"/>
    </x:row>
    <x:row r="46" ht="22" customHeight="1">
      <x:c r="A46" s="1"/>
      <x:c r="B46" s="1"/>
      <x:c r="C46" s="1"/>
      <x:c r="D46" s="4"/>
      <x:c r="E46" s="4"/>
      <x:c r="F46" s="4"/>
      <x:c r="G46" s="4"/>
      <x:c r="H46" s="4"/>
      <x:c r="I46" s="4"/>
      <x:c r="J46" s="1"/>
      <x:c r="K46" s="1"/>
      <x:c r="L46" s="1"/>
    </x:row>
    <x:row r="47" ht="22" customHeight="1">
      <x:c r="A47" s="1"/>
      <x:c r="B47" s="1"/>
      <x:c r="C47" s="1" t="str">
        <x:v>capex Active</x:v>
      </x:c>
      <x:c r="D47" s="4" t="n">
        <x:f>IF($D$3="Bear",D48,IF($D$3="Bull",D50,D49))</x:f>
        <x:v>12</x:v>
      </x:c>
      <x:c r="E47" s="4" t="n">
        <x:f>IF($D$3="Bear",E48,IF($D$3="Bull",E50,E49))</x:f>
        <x:v>20</x:v>
      </x:c>
      <x:c r="F47" s="4" t="n">
        <x:f>IF($D$3="Bear",F48,IF($D$3="Bull",F50,F49))</x:f>
        <x:v>22</x:v>
      </x:c>
      <x:c r="G47" s="4" t="n">
        <x:f>IF($D$3="Bear",G48,IF($D$3="Bull",G50,G49))</x:f>
        <x:v>24</x:v>
      </x:c>
      <x:c r="H47" s="4" t="n">
        <x:f>IF($D$3="Bear",H48,IF($D$3="Bull",H50,H49))</x:f>
        <x:v>26</x:v>
      </x:c>
      <x:c r="I47" s="4" t="n">
        <x:f>IF($D$3="Bear",I48,IF($D$3="Bull",I50,I49))</x:f>
        <x:v>28</x:v>
      </x:c>
      <x:c r="J47" s="1"/>
      <x:c r="K47" s="1"/>
      <x:c r="L47" s="1"/>
    </x:row>
    <x:row r="48" ht="22" customHeight="1">
      <x:c r="A48" s="1"/>
      <x:c r="B48" s="1"/>
      <x:c r="C48" s="1" t="str">
        <x:v>Bear</x:v>
      </x:c>
      <x:c r="D48" s="7" t="n">
        <x:v>16</x:v>
      </x:c>
      <x:c r="E48" s="7" t="n">
        <x:v>25</x:v>
      </x:c>
      <x:c r="F48" s="7" t="n">
        <x:v>25</x:v>
      </x:c>
      <x:c r="G48" s="7" t="n">
        <x:v>25</x:v>
      </x:c>
      <x:c r="H48" s="7" t="n">
        <x:v>26</x:v>
      </x:c>
      <x:c r="I48" s="7" t="n">
        <x:v>28</x:v>
      </x:c>
      <x:c r="J48" s="1"/>
      <x:c r="K48" s="1"/>
      <x:c r="L48" s="1"/>
    </x:row>
    <x:row r="49" ht="22" customHeight="1">
      <x:c r="A49" s="1"/>
      <x:c r="B49" s="1"/>
      <x:c r="C49" s="1" t="str">
        <x:v>Base</x:v>
      </x:c>
      <x:c r="D49" s="7" t="n">
        <x:v>12</x:v>
      </x:c>
      <x:c r="E49" s="7" t="n">
        <x:v>20</x:v>
      </x:c>
      <x:c r="F49" s="7" t="n">
        <x:v>22</x:v>
      </x:c>
      <x:c r="G49" s="7" t="n">
        <x:v>24</x:v>
      </x:c>
      <x:c r="H49" s="7" t="n">
        <x:v>26</x:v>
      </x:c>
      <x:c r="I49" s="7" t="n">
        <x:v>28</x:v>
      </x:c>
      <x:c r="J49" s="1"/>
      <x:c r="K49" s="1"/>
      <x:c r="L49" s="1"/>
    </x:row>
    <x:row r="50" ht="22" customHeight="1">
      <x:c r="A50" s="1"/>
      <x:c r="B50" s="1"/>
      <x:c r="C50" s="1" t="str">
        <x:v>Bull</x:v>
      </x:c>
      <x:c r="D50" s="7" t="n">
        <x:v>18</x:v>
      </x:c>
      <x:c r="E50" s="7" t="n">
        <x:v>25</x:v>
      </x:c>
      <x:c r="F50" s="7" t="n">
        <x:v>28</x:v>
      </x:c>
      <x:c r="G50" s="7" t="n">
        <x:v>30</x:v>
      </x:c>
      <x:c r="H50" s="7" t="n">
        <x:v>32</x:v>
      </x:c>
      <x:c r="I50" s="7" t="n">
        <x:v>34</x:v>
      </x:c>
      <x:c r="J50" s="1"/>
      <x:c r="K50" s="1"/>
      <x:c r="L50" s="1"/>
    </x:row>
    <x:row r="51" ht="22" customHeight="1">
      <x:c r="A51" s="1"/>
      <x:c r="B51" s="1"/>
      <x:c r="C51" s="1"/>
      <x:c r="D51" s="4"/>
      <x:c r="E51" s="4"/>
      <x:c r="F51" s="4"/>
      <x:c r="G51" s="4"/>
      <x:c r="H51" s="4"/>
      <x:c r="I51" s="4"/>
      <x:c r="J51" s="1"/>
      <x:c r="K51" s="1"/>
      <x:c r="L51" s="1"/>
    </x:row>
    <x:row r="52" ht="22" customHeight="1">
      <x:c r="A52" s="1"/>
      <x:c r="B52" s="1"/>
      <x:c r="C52" s="1" t="str">
        <x:v>nwc Active</x:v>
      </x:c>
      <x:c r="D52" s="5" t="n">
        <x:f>IF($D$3="Bear",D53,IF($D$3="Bull",D55,D54))</x:f>
        <x:v>0.365</x:v>
      </x:c>
      <x:c r="E52" s="5" t="n">
        <x:f>IF($D$3="Bear",E53,IF($D$3="Bull",E55,E54))</x:f>
        <x:v>0.355</x:v>
      </x:c>
      <x:c r="F52" s="5" t="n">
        <x:f>IF($D$3="Bear",F53,IF($D$3="Bull",F55,F54))</x:f>
        <x:v>0.345</x:v>
      </x:c>
      <x:c r="G52" s="5" t="n">
        <x:f>IF($D$3="Bear",G53,IF($D$3="Bull",G55,G54))</x:f>
        <x:v>0.335</x:v>
      </x:c>
      <x:c r="H52" s="5" t="n">
        <x:f>IF($D$3="Bear",H53,IF($D$3="Bull",H55,H54))</x:f>
        <x:v>0.33</x:v>
      </x:c>
      <x:c r="I52" s="5" t="n">
        <x:f>IF($D$3="Bear",I53,IF($D$3="Bull",I55,I54))</x:f>
        <x:v>0.325</x:v>
      </x:c>
      <x:c r="J52" s="1"/>
      <x:c r="K52" s="1"/>
      <x:c r="L52" s="1"/>
    </x:row>
    <x:row r="53" ht="22" customHeight="1">
      <x:c r="A53" s="1"/>
      <x:c r="B53" s="1"/>
      <x:c r="C53" s="1" t="str">
        <x:v>Bear</x:v>
      </x:c>
      <x:c r="D53" s="6" t="n">
        <x:v>0.38</x:v>
      </x:c>
      <x:c r="E53" s="6" t="n">
        <x:v>0.38</x:v>
      </x:c>
      <x:c r="F53" s="6" t="n">
        <x:v>0.38</x:v>
      </x:c>
      <x:c r="G53" s="6" t="n">
        <x:v>0.38</x:v>
      </x:c>
      <x:c r="H53" s="6" t="n">
        <x:v>0.38</x:v>
      </x:c>
      <x:c r="I53" s="6" t="n">
        <x:v>0.38</x:v>
      </x:c>
      <x:c r="J53" s="1"/>
      <x:c r="K53" s="1"/>
      <x:c r="L53" s="1"/>
    </x:row>
    <x:row r="54" ht="22" customHeight="1">
      <x:c r="A54" s="1"/>
      <x:c r="B54" s="1"/>
      <x:c r="C54" s="1" t="str">
        <x:v>Base</x:v>
      </x:c>
      <x:c r="D54" s="6" t="n">
        <x:v>0.365</x:v>
      </x:c>
      <x:c r="E54" s="6" t="n">
        <x:v>0.355</x:v>
      </x:c>
      <x:c r="F54" s="6" t="n">
        <x:v>0.345</x:v>
      </x:c>
      <x:c r="G54" s="6" t="n">
        <x:v>0.335</x:v>
      </x:c>
      <x:c r="H54" s="6" t="n">
        <x:v>0.33</x:v>
      </x:c>
      <x:c r="I54" s="6" t="n">
        <x:v>0.325</x:v>
      </x:c>
      <x:c r="J54" s="1"/>
      <x:c r="K54" s="1"/>
      <x:c r="L54" s="1"/>
    </x:row>
    <x:row r="55" ht="22" customHeight="1">
      <x:c r="A55" s="1"/>
      <x:c r="B55" s="1"/>
      <x:c r="C55" s="1" t="str">
        <x:v>Bull</x:v>
      </x:c>
      <x:c r="D55" s="6" t="n">
        <x:v>0.355</x:v>
      </x:c>
      <x:c r="E55" s="6" t="n">
        <x:v>0.345</x:v>
      </x:c>
      <x:c r="F55" s="6" t="n">
        <x:v>0.335</x:v>
      </x:c>
      <x:c r="G55" s="6" t="n">
        <x:v>0.325</x:v>
      </x:c>
      <x:c r="H55" s="6" t="n">
        <x:v>0.32</x:v>
      </x:c>
      <x:c r="I55" s="6" t="n">
        <x:v>0.315</x:v>
      </x:c>
      <x:c r="J55" s="1"/>
      <x:c r="K55" s="1"/>
      <x:c r="L55" s="1"/>
    </x:row>
    <x:row r="56" ht="22" customHeight="1">
      <x:c r="A56" s="1"/>
      <x:c r="B56" s="1"/>
      <x:c r="C56" s="1"/>
      <x:c r="D56" s="4"/>
      <x:c r="E56" s="4"/>
      <x:c r="F56" s="4"/>
      <x:c r="G56" s="4"/>
      <x:c r="H56" s="4"/>
      <x:c r="I56" s="4"/>
      <x:c r="J56" s="1"/>
      <x:c r="K56" s="1"/>
      <x:c r="L56" s="1"/>
    </x:row>
    <x:row r="57" ht="22" customHeight="1">
      <x:c r="A57" s="1"/>
      <x:c r="B57" s="1"/>
      <x:c r="C57" s="1"/>
      <x:c r="D57" s="4"/>
      <x:c r="E57" s="4"/>
      <x:c r="F57" s="4"/>
      <x:c r="G57" s="4"/>
      <x:c r="H57" s="4"/>
      <x:c r="I57" s="4"/>
      <x:c r="J57" s="1"/>
      <x:c r="K57" s="1"/>
      <x:c r="L57" s="1"/>
    </x:row>
    <x:row r="58" ht="22" customHeight="1">
      <x:c r="A58" s="1"/>
      <x:c r="B58" s="1"/>
      <x:c r="C58" s="1" t="str">
        <x:v>Review inputs / conditional stresses</x:v>
      </x:c>
      <x:c r="D58" s="4"/>
      <x:c r="E58" s="4"/>
      <x:c r="F58" s="4"/>
      <x:c r="G58" s="4"/>
      <x:c r="H58" s="4"/>
      <x:c r="I58" s="4"/>
      <x:c r="J58" s="1"/>
      <x:c r="K58" s="1"/>
      <x:c r="L58" s="1"/>
    </x:row>
    <x:row r="59" ht="22" customHeight="1">
      <x:c r="A59" s="1"/>
      <x:c r="B59" s="1"/>
      <x:c r="C59" s="1"/>
      <x:c r="D59" s="4"/>
      <x:c r="E59" s="4"/>
      <x:c r="F59" s="4"/>
      <x:c r="G59" s="4"/>
      <x:c r="H59" s="4"/>
      <x:c r="I59" s="4"/>
      <x:c r="J59" s="1"/>
      <x:c r="K59" s="1"/>
      <x:c r="L59" s="1"/>
    </x:row>
    <x:row r="60" ht="22" customHeight="1">
      <x:c r="A60" s="1"/>
      <x:c r="B60" s="1"/>
      <x:c r="C60" s="1" t="str">
        <x:v>margin_drop</x:v>
      </x:c>
      <x:c r="D60" s="6" t="n">
        <x:v>0.02</x:v>
      </x:c>
      <x:c r="E60" s="4"/>
      <x:c r="F60" s="4"/>
      <x:c r="G60" s="4"/>
      <x:c r="H60" s="4"/>
      <x:c r="I60" s="4"/>
      <x:c r="J60" s="1"/>
      <x:c r="K60" s="1"/>
      <x:c r="L60" s="1"/>
    </x:row>
    <x:row r="61" ht="22" customHeight="1">
      <x:c r="A61" s="1"/>
      <x:c r="B61" s="1"/>
      <x:c r="C61" s="1" t="str">
        <x:v>extra_capex</x:v>
      </x:c>
      <x:c r="D61" s="6" t="n">
        <x:v>0.2</x:v>
      </x:c>
      <x:c r="E61" s="4"/>
      <x:c r="F61" s="4"/>
      <x:c r="G61" s="4"/>
      <x:c r="H61" s="4"/>
      <x:c r="I61" s="4"/>
      <x:c r="J61" s="1"/>
      <x:c r="K61" s="1"/>
      <x:c r="L61" s="1"/>
    </x:row>
    <x:row r="62" ht="22" customHeight="1">
      <x:c r="A62" s="1"/>
      <x:c r="B62" s="1"/>
      <x:c r="C62" s="1" t="str">
        <x:v>fee_saving_2027</x:v>
      </x:c>
      <x:c r="D62" s="7" t="n">
        <x:v>6</x:v>
      </x:c>
      <x:c r="E62" s="4"/>
      <x:c r="F62" s="4"/>
      <x:c r="G62" s="4"/>
      <x:c r="H62" s="4"/>
      <x:c r="I62" s="4"/>
      <x:c r="J62" s="1"/>
      <x:c r="K62" s="1"/>
      <x:c r="L62" s="1"/>
    </x:row>
    <x:row r="63" ht="22" customHeight="1">
      <x:c r="A63" s="1"/>
      <x:c r="B63" s="1"/>
      <x:c r="C63" s="1"/>
      <x:c r="D63" s="4"/>
      <x:c r="E63" s="4"/>
      <x:c r="F63" s="4"/>
      <x:c r="G63" s="4"/>
      <x:c r="H63" s="4"/>
      <x:c r="I63" s="4"/>
      <x:c r="J63" s="1"/>
      <x:c r="K63" s="1"/>
      <x:c r="L63" s="1"/>
    </x:row>
    <x:row r="64" ht="22" customHeight="1">
      <x:c r="A64" s="1"/>
      <x:c r="B64" s="1"/>
      <x:c r="C64" s="1" t="str">
        <x:v>Source: research_inputs.json; evidence in report section 06.</x:v>
      </x:c>
      <x:c r="D64" s="4"/>
      <x:c r="E64" s="4"/>
      <x:c r="F64" s="4"/>
      <x:c r="G64" s="4"/>
      <x:c r="H64" s="4"/>
      <x:c r="I64" s="4"/>
      <x:c r="J64" s="1"/>
      <x:c r="K64" s="1"/>
      <x:c r="L64" s="1"/>
    </x:row>
    <x:row r="65" ht="22" customHeight="1">
      <x:c r="A65" s="1"/>
      <x:c r="B65" s="1"/>
      <x:c r="C65" s="1"/>
      <x:c r="D65" s="4"/>
      <x:c r="E65" s="4"/>
      <x:c r="F65" s="4"/>
      <x:c r="G65" s="4"/>
      <x:c r="H65" s="4"/>
      <x:c r="I65" s="4"/>
      <x:c r="J65" s="1"/>
      <x:c r="K65" s="1"/>
      <x:c r="L65" s="1"/>
    </x:row>
    <x:row r="66" ht="22" customHeight="1">
      <x:c r="A66" s="1"/>
      <x:c r="B66" s="1"/>
      <x:c r="C66" s="1"/>
      <x:c r="D66" s="4"/>
      <x:c r="E66" s="4"/>
      <x:c r="F66" s="4"/>
      <x:c r="G66" s="4"/>
      <x:c r="H66" s="4"/>
      <x:c r="I66" s="4"/>
      <x:c r="J66" s="1"/>
      <x:c r="K66" s="1"/>
      <x:c r="L66" s="1"/>
    </x:row>
    <x:row r="67" ht="22" customHeight="1">
      <x:c r="A67" s="1"/>
      <x:c r="B67" s="1"/>
      <x:c r="C67" s="1"/>
      <x:c r="D67" s="4"/>
      <x:c r="E67" s="4"/>
      <x:c r="F67" s="4"/>
      <x:c r="G67" s="4"/>
      <x:c r="H67" s="4"/>
      <x:c r="I67" s="4"/>
      <x:c r="J67" s="1"/>
      <x:c r="K67" s="1"/>
      <x:c r="L67" s="1"/>
    </x:row>
    <x:row r="68" ht="22" customHeight="1">
      <x:c r="A68" s="1"/>
      <x:c r="B68" s="1"/>
      <x:c r="C68" s="1"/>
      <x:c r="D68" s="4"/>
      <x:c r="E68" s="4"/>
      <x:c r="F68" s="4"/>
      <x:c r="G68" s="4"/>
      <x:c r="H68" s="4"/>
      <x:c r="I68" s="4"/>
      <x:c r="J68" s="1"/>
      <x:c r="K68" s="1"/>
      <x:c r="L68" s="1"/>
    </x:row>
    <x:row r="69" ht="22" customHeight="1">
      <x:c r="A69" s="1"/>
      <x:c r="B69" s="1"/>
      <x:c r="C69" s="1"/>
      <x:c r="D69" s="4"/>
      <x:c r="E69" s="4"/>
      <x:c r="F69" s="4"/>
      <x:c r="G69" s="4"/>
      <x:c r="H69" s="4"/>
      <x:c r="I69" s="4"/>
      <x:c r="J69" s="1"/>
      <x:c r="K69" s="1"/>
      <x:c r="L69" s="1"/>
    </x:row>
    <x:row r="70" ht="22" customHeight="1">
      <x:c r="A70" s="1"/>
      <x:c r="B70" s="1"/>
      <x:c r="C70" s="1"/>
      <x:c r="D70" s="4"/>
      <x:c r="E70" s="4"/>
      <x:c r="F70" s="4"/>
      <x:c r="G70" s="4"/>
      <x:c r="H70" s="4"/>
      <x:c r="I70" s="4"/>
      <x:c r="J70" s="1"/>
      <x:c r="K70" s="1"/>
      <x:c r="L70" s="1"/>
    </x:row>
    <x:row r="71" ht="22" customHeight="1">
      <x:c r="A71" s="1"/>
      <x:c r="B71" s="1"/>
      <x:c r="C71" s="1"/>
      <x:c r="D71" s="4"/>
      <x:c r="E71" s="4"/>
      <x:c r="F71" s="4"/>
      <x:c r="G71" s="4"/>
      <x:c r="H71" s="4"/>
      <x:c r="I71" s="4"/>
      <x:c r="J71" s="1"/>
      <x:c r="K71" s="1"/>
      <x:c r="L71" s="1"/>
    </x:row>
    <x:row r="72" ht="22" customHeight="1">
      <x:c r="A72" s="1"/>
      <x:c r="B72" s="1"/>
      <x:c r="C72" s="1"/>
      <x:c r="D72" s="4"/>
      <x:c r="E72" s="4"/>
      <x:c r="F72" s="4"/>
      <x:c r="G72" s="4"/>
      <x:c r="H72" s="4"/>
      <x:c r="I72" s="4"/>
      <x:c r="J72" s="1"/>
      <x:c r="K72" s="1"/>
      <x:c r="L72" s="1"/>
    </x:row>
    <x:row r="73" ht="22" customHeight="1">
      <x:c r="A73" s="1"/>
      <x:c r="B73" s="1"/>
      <x:c r="C73" s="1"/>
      <x:c r="D73" s="4"/>
      <x:c r="E73" s="4"/>
      <x:c r="F73" s="4"/>
      <x:c r="G73" s="4"/>
      <x:c r="H73" s="4"/>
      <x:c r="I73" s="4"/>
      <x:c r="J73" s="1"/>
      <x:c r="K73" s="1"/>
      <x:c r="L73" s="1"/>
    </x:row>
    <x:row r="74" ht="22" customHeight="1">
      <x:c r="A74" s="1"/>
      <x:c r="B74" s="1"/>
      <x:c r="C74" s="1"/>
      <x:c r="D74" s="4"/>
      <x:c r="E74" s="4"/>
      <x:c r="F74" s="4"/>
      <x:c r="G74" s="4"/>
      <x:c r="H74" s="4"/>
      <x:c r="I74" s="4"/>
      <x:c r="J74" s="1"/>
      <x:c r="K74" s="1"/>
      <x:c r="L74" s="1"/>
    </x:row>
    <x:row r="75" ht="22" customHeight="1">
      <x:c r="A75" s="1"/>
      <x:c r="B75" s="1"/>
      <x:c r="C75" s="1"/>
      <x:c r="D75" s="4"/>
      <x:c r="E75" s="4"/>
      <x:c r="F75" s="4"/>
      <x:c r="G75" s="4"/>
      <x:c r="H75" s="4"/>
      <x:c r="I75" s="4"/>
      <x:c r="J75" s="1"/>
      <x:c r="K75" s="1"/>
      <x:c r="L75" s="1"/>
    </x:row>
    <x:row r="76" ht="22" customHeight="1">
      <x:c r="A76" s="1"/>
      <x:c r="B76" s="1"/>
      <x:c r="C76" s="1"/>
      <x:c r="D76" s="4"/>
      <x:c r="E76" s="4"/>
      <x:c r="F76" s="4"/>
      <x:c r="G76" s="4"/>
      <x:c r="H76" s="4"/>
      <x:c r="I76" s="4"/>
      <x:c r="J76" s="1"/>
      <x:c r="K76" s="1"/>
      <x:c r="L76" s="1"/>
    </x:row>
    <x:row r="77" ht="22" customHeight="1">
      <x:c r="A77" s="1"/>
      <x:c r="B77" s="1"/>
      <x:c r="C77" s="1"/>
      <x:c r="D77" s="4"/>
      <x:c r="E77" s="4"/>
      <x:c r="F77" s="4"/>
      <x:c r="G77" s="4"/>
      <x:c r="H77" s="4"/>
      <x:c r="I77" s="4"/>
      <x:c r="J77" s="1"/>
      <x:c r="K77" s="1"/>
      <x:c r="L77" s="1"/>
    </x:row>
    <x:row r="78" ht="22" customHeight="1">
      <x:c r="A78" s="1"/>
      <x:c r="B78" s="1"/>
      <x:c r="C78" s="1"/>
      <x:c r="D78" s="4"/>
      <x:c r="E78" s="4"/>
      <x:c r="F78" s="4"/>
      <x:c r="G78" s="4"/>
      <x:c r="H78" s="4"/>
      <x:c r="I78" s="4"/>
      <x:c r="J78" s="1"/>
      <x:c r="K78" s="1"/>
      <x:c r="L78" s="1"/>
    </x:row>
    <x:row r="79" ht="22" customHeight="1">
      <x:c r="A79" s="1"/>
      <x:c r="B79" s="1"/>
      <x:c r="C79" s="1"/>
      <x:c r="D79" s="4"/>
      <x:c r="E79" s="4"/>
      <x:c r="F79" s="4"/>
      <x:c r="G79" s="4"/>
      <x:c r="H79" s="4"/>
      <x:c r="I79" s="4"/>
      <x:c r="J79" s="1"/>
      <x:c r="K79" s="1"/>
      <x:c r="L79" s="1"/>
    </x:row>
    <x:row r="80" ht="22" customHeight="1">
      <x:c r="A80" s="1"/>
      <x:c r="B80" s="1"/>
      <x:c r="C80" s="1"/>
      <x:c r="D80" s="4"/>
      <x:c r="E80" s="4"/>
      <x:c r="F80" s="4"/>
      <x:c r="G80" s="4"/>
      <x:c r="H80" s="4"/>
      <x:c r="I80" s="4"/>
      <x:c r="J80" s="1"/>
      <x:c r="K80" s="1"/>
      <x:c r="L80" s="1"/>
    </x:row>
    <x:row r="81" ht="22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</x:row>
    <x:row r="82" ht="22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</x:row>
    <x:row r="83" ht="22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</x:row>
    <x:row r="84" ht="22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</x:row>
    <x:row r="85" ht="22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</x:row>
  </x:sheetData>
  <x:dataValidations count="1">
    <x:dataValidation type="list" sqref="D3">
      <x:formula1>"Bear,Base,Bull"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33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26" hidden="0" customWidth="1"/>
    <x:col min="11" max="11" width="26" hidden="0" customWidth="1"/>
    <x:col min="12" max="12" width="26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2" customHeight="1">
      <x:c r="A2" s="1"/>
      <x:c r="B2" s="1"/>
      <x:c r="C2" s="2" t="str">
        <x:v>Forecast</x:v>
      </x:c>
      <x:c r="D2" s="2"/>
      <x:c r="E2" s="2"/>
      <x:c r="F2" s="2"/>
      <x:c r="G2" s="2"/>
      <x:c r="H2" s="2"/>
      <x:c r="I2" s="2"/>
      <x:c r="J2" s="1"/>
      <x:c r="K2" s="1"/>
      <x:c r="L2" s="1"/>
    </x:row>
    <x:row r="3" ht="22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22" customHeight="1">
      <x:c r="A4" s="1"/>
      <x:c r="B4" s="1"/>
      <x:c r="C4" s="1" t="str">
        <x:v>Case selected</x:v>
      </x:c>
      <x:c r="D4" s="3" t="str">
        <x:f>Inputs!D3</x:f>
        <x:v>Base</x:v>
      </x:c>
      <x:c r="E4" s="1"/>
      <x:c r="F4" s="1"/>
      <x:c r="G4" s="1"/>
      <x:c r="H4" s="1"/>
      <x:c r="I4" s="1"/>
      <x:c r="J4" s="1"/>
      <x:c r="K4" s="1"/>
      <x:c r="L4" s="1"/>
    </x:row>
    <x:row r="5" ht="22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 ht="22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</x:row>
    <x:row r="7" ht="27" customHeight="1">
      <x:c r="A7" s="1"/>
      <x:c r="B7" s="1"/>
      <x:c r="C7" s="18"/>
      <x:c r="D7" s="18" t="n">
        <x:v>2026</x:v>
      </x:c>
      <x:c r="E7" s="18" t="n">
        <x:v>2027</x:v>
      </x:c>
      <x:c r="F7" s="18" t="n">
        <x:v>2028</x:v>
      </x:c>
      <x:c r="G7" s="18" t="n">
        <x:v>2029</x:v>
      </x:c>
      <x:c r="H7" s="18" t="n">
        <x:v>2030</x:v>
      </x:c>
      <x:c r="I7" s="18" t="n">
        <x:v>2031</x:v>
      </x:c>
      <x:c r="J7" s="1"/>
      <x:c r="K7" s="1"/>
      <x:c r="L7" s="1"/>
    </x:row>
    <x:row r="8" ht="22" customHeight="1">
      <x:c r="A8" s="1"/>
      <x:c r="B8" s="1"/>
      <x:c r="C8" s="1" t="str">
        <x:v>Revenue</x:v>
      </x:c>
      <x:c r="D8" s="9" t="n">
        <x:f>Inputs!$D$18</x:f>
        <x:v>380.5</x:v>
      </x:c>
      <x:c r="E8" s="4" t="n">
        <x:f>D8*(1+E9)</x:f>
        <x:v>418.55</x:v>
      </x:c>
      <x:c r="F8" s="4" t="n">
        <x:f>E8*(1+F9)</x:f>
        <x:v>456.21950000000004</x:v>
      </x:c>
      <x:c r="G8" s="4" t="n">
        <x:f>F8*(1+G9)</x:f>
        <x:v>492.71706000000006</x:v>
      </x:c>
      <x:c r="H8" s="4" t="n">
        <x:f>G8*(1+H9)</x:f>
        <x:v>522.2800836000001</x:v>
      </x:c>
      <x:c r="I8" s="4" t="n">
        <x:f>H8*(1+I9)</x:f>
        <x:v>548.3940877800002</x:v>
      </x:c>
      <x:c r="J8" s="1"/>
      <x:c r="K8" s="1"/>
      <x:c r="L8" s="1"/>
    </x:row>
    <x:row r="9" ht="22" customHeight="1">
      <x:c r="A9" s="1"/>
      <x:c r="B9" s="1"/>
      <x:c r="C9" s="1" t="str">
        <x:v>Revenue growth</x:v>
      </x:c>
      <x:c r="D9" s="11" t="n">
        <x:f>Inputs!D32</x:f>
        <x:v>0</x:v>
      </x:c>
      <x:c r="E9" s="11" t="n">
        <x:f>Inputs!E32</x:f>
        <x:v>0.1</x:v>
      </x:c>
      <x:c r="F9" s="11" t="n">
        <x:f>Inputs!F32</x:f>
        <x:v>0.09</x:v>
      </x:c>
      <x:c r="G9" s="11" t="n">
        <x:f>Inputs!G32</x:f>
        <x:v>0.08</x:v>
      </x:c>
      <x:c r="H9" s="11" t="n">
        <x:f>Inputs!H32</x:f>
        <x:v>0.06</x:v>
      </x:c>
      <x:c r="I9" s="11" t="n">
        <x:f>Inputs!I32</x:f>
        <x:v>0.05</x:v>
      </x:c>
      <x:c r="J9" s="1"/>
      <x:c r="K9" s="1"/>
      <x:c r="L9" s="1"/>
    </x:row>
    <x:row r="10" ht="22" customHeight="1">
      <x:c r="A10" s="1"/>
      <x:c r="B10" s="1"/>
      <x:c r="C10" s="1" t="str">
        <x:v>Operating margin</x:v>
      </x:c>
      <x:c r="D10" s="11" t="n">
        <x:f>Inputs!D37</x:f>
        <x:v>0.295</x:v>
      </x:c>
      <x:c r="E10" s="11" t="n">
        <x:f>Inputs!E37</x:f>
        <x:v>0.315</x:v>
      </x:c>
      <x:c r="F10" s="11" t="n">
        <x:f>Inputs!F37</x:f>
        <x:v>0.315</x:v>
      </x:c>
      <x:c r="G10" s="11" t="n">
        <x:f>Inputs!G37</x:f>
        <x:v>0.31</x:v>
      </x:c>
      <x:c r="H10" s="11" t="n">
        <x:f>Inputs!H37</x:f>
        <x:v>0.305</x:v>
      </x:c>
      <x:c r="I10" s="11" t="n">
        <x:f>Inputs!I37</x:f>
        <x:v>0.3</x:v>
      </x:c>
      <x:c r="J10" s="1"/>
      <x:c r="K10" s="1"/>
      <x:c r="L10" s="1"/>
    </x:row>
    <x:row r="11" ht="22" customHeight="1">
      <x:c r="A11" s="1"/>
      <x:c r="B11" s="1"/>
      <x:c r="C11" s="1" t="str">
        <x:v>EBIT</x:v>
      </x:c>
      <x:c r="D11" s="4" t="n">
        <x:f>D8*D10</x:f>
        <x:v>112.24749999999999</x:v>
      </x:c>
      <x:c r="E11" s="4" t="n">
        <x:f>E8*E10</x:f>
        <x:v>131.84325</x:v>
      </x:c>
      <x:c r="F11" s="4" t="n">
        <x:f>F8*F10</x:f>
        <x:v>143.7091425</x:v>
      </x:c>
      <x:c r="G11" s="4" t="n">
        <x:f>G8*G10</x:f>
        <x:v>152.74228860000002</x:v>
      </x:c>
      <x:c r="H11" s="4" t="n">
        <x:f>H8*H10</x:f>
        <x:v>159.29542549800004</x:v>
      </x:c>
      <x:c r="I11" s="4" t="n">
        <x:f>I8*I10</x:f>
        <x:v>164.51822633400005</x:v>
      </x:c>
      <x:c r="J11" s="1"/>
      <x:c r="K11" s="1"/>
      <x:c r="L11" s="1"/>
    </x:row>
    <x:row r="12" ht="22" customHeight="1">
      <x:c r="A12" s="1"/>
      <x:c r="B12" s="1"/>
      <x:c r="C12" s="1" t="str">
        <x:v>Tax rate</x:v>
      </x:c>
      <x:c r="D12" s="11" t="n">
        <x:f>Inputs!$D$19</x:f>
        <x:v>0.24</x:v>
      </x:c>
      <x:c r="E12" s="11" t="n">
        <x:f>Inputs!$D$19</x:f>
        <x:v>0.24</x:v>
      </x:c>
      <x:c r="F12" s="11" t="n">
        <x:f>Inputs!$D$19</x:f>
        <x:v>0.24</x:v>
      </x:c>
      <x:c r="G12" s="11" t="n">
        <x:f>Inputs!$D$19</x:f>
        <x:v>0.24</x:v>
      </x:c>
      <x:c r="H12" s="11" t="n">
        <x:f>Inputs!$D$19</x:f>
        <x:v>0.24</x:v>
      </x:c>
      <x:c r="I12" s="11" t="n">
        <x:f>Inputs!$D$19</x:f>
        <x:v>0.24</x:v>
      </x:c>
      <x:c r="J12" s="1"/>
      <x:c r="K12" s="1"/>
      <x:c r="L12" s="1"/>
    </x:row>
    <x:row r="13" ht="22" customHeight="1">
      <x:c r="A13" s="1"/>
      <x:c r="B13" s="1"/>
      <x:c r="C13" s="1" t="str">
        <x:v>NOPAT</x:v>
      </x:c>
      <x:c r="D13" s="4" t="n">
        <x:f>D11*(1-D12)</x:f>
        <x:v>85.3081</x:v>
      </x:c>
      <x:c r="E13" s="4" t="n">
        <x:f>E11*(1-E12)</x:f>
        <x:v>100.20087000000001</x:v>
      </x:c>
      <x:c r="F13" s="4" t="n">
        <x:f>F11*(1-F12)</x:f>
        <x:v>109.21894830000001</x:v>
      </x:c>
      <x:c r="G13" s="4" t="n">
        <x:f>G11*(1-G12)</x:f>
        <x:v>116.08413933600002</x:v>
      </x:c>
      <x:c r="H13" s="4" t="n">
        <x:f>H11*(1-H12)</x:f>
        <x:v>121.06452337848003</x:v>
      </x:c>
      <x:c r="I13" s="4" t="n">
        <x:f>I11*(1-I12)</x:f>
        <x:v>125.03385201384003</x:v>
      </x:c>
      <x:c r="J13" s="1"/>
      <x:c r="K13" s="1"/>
      <x:c r="L13" s="1"/>
    </x:row>
    <x:row r="14" ht="22" customHeight="1">
      <x:c r="A14" s="1"/>
      <x:c r="B14" s="1"/>
      <x:c r="C14" s="1" t="str">
        <x:v>D&amp;A</x:v>
      </x:c>
      <x:c r="D14" s="9" t="n">
        <x:f>Inputs!D42</x:f>
        <x:v>15.2</x:v>
      </x:c>
      <x:c r="E14" s="9" t="n">
        <x:f>Inputs!E42</x:f>
        <x:v>16</x:v>
      </x:c>
      <x:c r="F14" s="9" t="n">
        <x:f>Inputs!F42</x:f>
        <x:v>17</x:v>
      </x:c>
      <x:c r="G14" s="9" t="n">
        <x:f>Inputs!G42</x:f>
        <x:v>18</x:v>
      </x:c>
      <x:c r="H14" s="9" t="n">
        <x:f>Inputs!H42</x:f>
        <x:v>19</x:v>
      </x:c>
      <x:c r="I14" s="9" t="n">
        <x:f>Inputs!I42</x:f>
        <x:v>20</x:v>
      </x:c>
      <x:c r="J14" s="1"/>
      <x:c r="K14" s="1"/>
      <x:c r="L14" s="1"/>
    </x:row>
    <x:row r="15" ht="22" customHeight="1">
      <x:c r="A15" s="1"/>
      <x:c r="B15" s="1"/>
      <x:c r="C15" s="1" t="str">
        <x:v>CAPEX</x:v>
      </x:c>
      <x:c r="D15" s="9" t="n">
        <x:f>Inputs!D47</x:f>
        <x:v>12</x:v>
      </x:c>
      <x:c r="E15" s="9" t="n">
        <x:f>Inputs!E47</x:f>
        <x:v>20</x:v>
      </x:c>
      <x:c r="F15" s="9" t="n">
        <x:f>Inputs!F47</x:f>
        <x:v>22</x:v>
      </x:c>
      <x:c r="G15" s="9" t="n">
        <x:f>Inputs!G47</x:f>
        <x:v>24</x:v>
      </x:c>
      <x:c r="H15" s="9" t="n">
        <x:f>Inputs!H47</x:f>
        <x:v>26</x:v>
      </x:c>
      <x:c r="I15" s="9" t="n">
        <x:f>Inputs!I47</x:f>
        <x:v>28</x:v>
      </x:c>
      <x:c r="J15" s="1"/>
      <x:c r="K15" s="1"/>
      <x:c r="L15" s="1"/>
    </x:row>
    <x:row r="16" ht="22" customHeight="1">
      <x:c r="A16" s="1"/>
      <x:c r="B16" s="1"/>
      <x:c r="C16" s="1" t="str">
        <x:v>NWC / annual sales</x:v>
      </x:c>
      <x:c r="D16" s="11" t="n">
        <x:f>Inputs!D52</x:f>
        <x:v>0.365</x:v>
      </x:c>
      <x:c r="E16" s="11" t="n">
        <x:f>Inputs!E52</x:f>
        <x:v>0.355</x:v>
      </x:c>
      <x:c r="F16" s="11" t="n">
        <x:f>Inputs!F52</x:f>
        <x:v>0.345</x:v>
      </x:c>
      <x:c r="G16" s="11" t="n">
        <x:f>Inputs!G52</x:f>
        <x:v>0.335</x:v>
      </x:c>
      <x:c r="H16" s="11" t="n">
        <x:f>Inputs!H52</x:f>
        <x:v>0.33</x:v>
      </x:c>
      <x:c r="I16" s="11" t="n">
        <x:f>Inputs!I52</x:f>
        <x:v>0.325</x:v>
      </x:c>
      <x:c r="J16" s="1"/>
      <x:c r="K16" s="1"/>
      <x:c r="L16" s="1"/>
    </x:row>
    <x:row r="17" ht="22" customHeight="1">
      <x:c r="A17" s="1"/>
      <x:c r="B17" s="1"/>
      <x:c r="C17" s="1" t="str">
        <x:v>Operating NWC</x:v>
      </x:c>
      <x:c r="D17" s="4" t="n">
        <x:f>D8*D16</x:f>
        <x:v>138.8825</x:v>
      </x:c>
      <x:c r="E17" s="4" t="n">
        <x:f>E8*E16</x:f>
        <x:v>148.58525</x:v>
      </x:c>
      <x:c r="F17" s="4" t="n">
        <x:f>F8*F16</x:f>
        <x:v>157.3957275</x:v>
      </x:c>
      <x:c r="G17" s="4" t="n">
        <x:f>G8*G16</x:f>
        <x:v>165.06021510000002</x:v>
      </x:c>
      <x:c r="H17" s="4" t="n">
        <x:f>H8*H16</x:f>
        <x:v>172.35242758800004</x:v>
      </x:c>
      <x:c r="I17" s="4" t="n">
        <x:f>I8*I16</x:f>
        <x:v>178.22807852850008</x:v>
      </x:c>
      <x:c r="J17" s="1"/>
      <x:c r="K17" s="1"/>
      <x:c r="L17" s="1"/>
    </x:row>
    <x:row r="18" ht="22" customHeight="1">
      <x:c r="A18" s="1"/>
      <x:c r="B18" s="1"/>
      <x:c r="C18" s="1" t="str">
        <x:v>Change in NWC</x:v>
      </x:c>
      <x:c r="D18" s="4"/>
      <x:c r="E18" s="4" t="n">
        <x:f>E17-D17</x:f>
        <x:v>9.702750000000009</x:v>
      </x:c>
      <x:c r="F18" s="4" t="n">
        <x:f>F17-E17</x:f>
        <x:v>8.81047749999999</x:v>
      </x:c>
      <x:c r="G18" s="4" t="n">
        <x:f>G17-F17</x:f>
        <x:v>7.6644876000000295</x:v>
      </x:c>
      <x:c r="H18" s="4" t="n">
        <x:f>H17-G17</x:f>
        <x:v>7.292212488000018</x:v>
      </x:c>
      <x:c r="I18" s="4" t="n">
        <x:f>I17-H17</x:f>
        <x:v>5.875650940500037</x:v>
      </x:c>
      <x:c r="J18" s="1"/>
      <x:c r="K18" s="1"/>
      <x:c r="L18" s="1"/>
    </x:row>
    <x:row r="19" ht="22" customHeight="1">
      <x:c r="A19" s="1"/>
      <x:c r="B19" s="1"/>
      <x:c r="C19" s="1" t="str">
        <x:v>FCFF</x:v>
      </x:c>
      <x:c r="D19" s="4"/>
      <x:c r="E19" s="4" t="n">
        <x:f>E13+E14-E15-E18</x:f>
        <x:v>86.49812</x:v>
      </x:c>
      <x:c r="F19" s="4" t="n">
        <x:f>F13+F14-F15-F18</x:f>
        <x:v>95.40847080000002</x:v>
      </x:c>
      <x:c r="G19" s="4" t="n">
        <x:f>G13+G14-G15-G18</x:f>
        <x:v>102.41965173599999</x:v>
      </x:c>
      <x:c r="H19" s="4" t="n">
        <x:f>H13+H14-H15-H18</x:f>
        <x:v>106.77231089048001</x:v>
      </x:c>
      <x:c r="I19" s="4" t="n">
        <x:f>I13+I14-I15-I18</x:f>
        <x:v>111.15820107334</x:v>
      </x:c>
      <x:c r="J19" s="1"/>
      <x:c r="K19" s="1"/>
      <x:c r="L19" s="1"/>
    </x:row>
    <x:row r="20" ht="22" customHeight="1">
      <x:c r="A20" s="1"/>
      <x:c r="B20" s="1"/>
      <x:c r="C20" s="1" t="str">
        <x:v>Cash return</x:v>
      </x:c>
      <x:c r="D20" s="9" t="n">
        <x:f>'Cash Equity Bridge'!D16</x:f>
        <x:v>3.6500097981625004</x:v>
      </x:c>
      <x:c r="E20" s="9" t="n">
        <x:f>D26*Inputs!$D$20</x:f>
        <x:v>8.268485458391064</x:v>
      </x:c>
      <x:c r="F20" s="9" t="n">
        <x:f>E26*Inputs!$D$20</x:f>
        <x:v>9.688543734589919</x:v>
      </x:c>
      <x:c r="G20" s="9" t="n">
        <x:f>F26*Inputs!$D$20</x:f>
        <x:v>11.275528542652005</x:v>
      </x:c>
      <x:c r="H20" s="9" t="n">
        <x:f>G26*Inputs!$D$20</x:f>
        <x:v>13.003510955680097</x:v>
      </x:c>
      <x:c r="I20" s="9" t="n">
        <x:f>H26*Inputs!$D$20</x:f>
        <x:v>14.8248112014102</x:v>
      </x:c>
      <x:c r="J20" s="1"/>
      <x:c r="K20" s="1"/>
      <x:c r="L20" s="1"/>
    </x:row>
    <x:row r="21" ht="22" customHeight="1">
      <x:c r="A21" s="1"/>
      <x:c r="B21" s="1"/>
      <x:c r="C21" s="1" t="str">
        <x:v>Parent net income</x:v>
      </x:c>
      <x:c r="D21" s="9" t="n">
        <x:f>'Actuals Sources'!$D$11+'Cash Equity Bridge'!D17</x:f>
        <x:v>95.61439114264249</x:v>
      </x:c>
      <x:c r="E21" s="4" t="n">
        <x:f>E13*E27+E20</x:f>
        <x:v>108.46935545839108</x:v>
      </x:c>
      <x:c r="F21" s="4" t="n">
        <x:f>F13*F27+F20</x:f>
        <x:v>118.90749203458992</x:v>
      </x:c>
      <x:c r="G21" s="4" t="n">
        <x:f>G13*G27+G20</x:f>
        <x:v>127.35966787865203</x:v>
      </x:c>
      <x:c r="H21" s="4" t="n">
        <x:f>H13*H27+H20</x:f>
        <x:v>134.06803433416013</x:v>
      </x:c>
      <x:c r="I21" s="4" t="n">
        <x:f>I13*I27+I20</x:f>
        <x:v>139.85866321525023</x:v>
      </x:c>
      <x:c r="J21" s="1"/>
      <x:c r="K21" s="1"/>
      <x:c r="L21" s="1"/>
    </x:row>
    <x:row r="22" ht="22" customHeight="1">
      <x:c r="A22" s="1"/>
      <x:c r="B22" s="1"/>
      <x:c r="C22" s="1" t="str">
        <x:v>EPS KRW</x:v>
      </x:c>
      <x:c r="D22" s="9" t="n">
        <x:f>D21*1000/'Cash Equity Bridge'!$D$23</x:f>
        <x:v>8552.717882816283</x:v>
      </x:c>
      <x:c r="E22" s="9" t="n">
        <x:f>E21*1000/'Cash Equity Bridge'!$D$23</x:f>
        <x:v>9702.59586532884</x:v>
      </x:c>
      <x:c r="F22" s="9" t="n">
        <x:f>F21*1000/'Cash Equity Bridge'!$D$23</x:f>
        <x:v>10636.288338728062</x:v>
      </x:c>
      <x:c r="G22" s="9" t="n">
        <x:f>G21*1000/'Cash Equity Bridge'!$D$23</x:f>
        <x:v>11392.336404571763</x:v>
      </x:c>
      <x:c r="H22" s="9" t="n">
        <x:f>H21*1000/'Cash Equity Bridge'!$D$23</x:f>
        <x:v>11992.400527376396</x:v>
      </x:c>
      <x:c r="I22" s="9" t="n">
        <x:f>I21*1000/'Cash Equity Bridge'!$D$23</x:f>
        <x:v>12510.372922454111</x:v>
      </x:c>
      <x:c r="J22" s="1"/>
      <x:c r="K22" s="1"/>
      <x:c r="L22" s="1"/>
    </x:row>
    <x:row r="23" ht="22" customHeight="1">
      <x:c r="A23" s="1"/>
      <x:c r="B23" s="1"/>
      <x:c r="C23" s="1" t="str">
        <x:v>Beginning parent book</x:v>
      </x:c>
      <x:c r="D23" s="4"/>
      <x:c r="E23" s="4" t="n">
        <x:f>D25</x:f>
        <x:v>590.3052689456424</x:v>
      </x:c>
      <x:c r="F23" s="4" t="n">
        <x:f>E25</x:f>
        <x:v>660.8103499935967</x:v>
      </x:c>
      <x:c r="G23" s="4" t="n">
        <x:f>F25</x:f>
        <x:v>738.1002198160802</x:v>
      </x:c>
      <x:c r="H23" s="4" t="n">
        <x:f>G25</x:f>
        <x:v>820.884003937204</x:v>
      </x:c>
      <x:c r="I23" s="4" t="n">
        <x:f>H25</x:f>
        <x:v>908.0282262544082</x:v>
      </x:c>
      <x:c r="J23" s="1"/>
      <x:c r="K23" s="1"/>
      <x:c r="L23" s="1"/>
    </x:row>
    <x:row r="24" ht="22" customHeight="1">
      <x:c r="A24" s="1"/>
      <x:c r="B24" s="1"/>
      <x:c r="C24" s="1" t="str">
        <x:v>Dividends</x:v>
      </x:c>
      <x:c r="D24" s="9" t="n">
        <x:f>Inputs!$D$21</x:f>
        <x:v>8</x:v>
      </x:c>
      <x:c r="E24" s="9" t="n">
        <x:f>E21*Inputs!$D$14</x:f>
        <x:v>37.96427441043687</x:v>
      </x:c>
      <x:c r="F24" s="9" t="n">
        <x:f>F21*Inputs!$D$14</x:f>
        <x:v>41.61762221210647</x:v>
      </x:c>
      <x:c r="G24" s="9" t="n">
        <x:f>G21*Inputs!$D$14</x:f>
        <x:v>44.57588375752821</x:v>
      </x:c>
      <x:c r="H24" s="9" t="n">
        <x:f>H21*Inputs!$D$14</x:f>
        <x:v>46.92381201695604</x:v>
      </x:c>
      <x:c r="I24" s="9" t="n">
        <x:f>I21*Inputs!$D$14</x:f>
        <x:v>48.95053212533758</x:v>
      </x:c>
      <x:c r="J24" s="1"/>
      <x:c r="K24" s="1"/>
      <x:c r="L24" s="1"/>
    </x:row>
    <x:row r="25" ht="22" customHeight="1">
      <x:c r="A25" s="1"/>
      <x:c r="B25" s="1"/>
      <x:c r="C25" s="1" t="str">
        <x:v>Ending parent book</x:v>
      </x:c>
      <x:c r="D25" s="9" t="n">
        <x:f>'Cash Equity Bridge'!D22</x:f>
        <x:v>590.3052689456424</x:v>
      </x:c>
      <x:c r="E25" s="4" t="n">
        <x:f>E23+E21-E24</x:f>
        <x:v>660.8103499935967</x:v>
      </x:c>
      <x:c r="F25" s="4" t="n">
        <x:f>F23+F21-F24</x:f>
        <x:v>738.1002198160802</x:v>
      </x:c>
      <x:c r="G25" s="4" t="n">
        <x:f>G23+G21-G24</x:f>
        <x:v>820.884003937204</x:v>
      </x:c>
      <x:c r="H25" s="4" t="n">
        <x:f>H23+H21-H24</x:f>
        <x:v>908.0282262544082</x:v>
      </x:c>
      <x:c r="I25" s="4" t="n">
        <x:f>I23+I21-I24</x:f>
        <x:v>998.9363573443209</x:v>
      </x:c>
      <x:c r="J25" s="1"/>
      <x:c r="K25" s="1"/>
      <x:c r="L25" s="1"/>
    </x:row>
    <x:row r="26" ht="22" customHeight="1">
      <x:c r="A26" s="1"/>
      <x:c r="B26" s="1"/>
      <x:c r="C26" s="1" t="str">
        <x:v>Ending net cash</x:v>
      </x:c>
      <x:c r="D26" s="9" t="n">
        <x:f>'Cash Equity Bridge'!D21</x:f>
        <x:v>330.73941833564254</x:v>
      </x:c>
      <x:c r="E26" s="4" t="n">
        <x:f>D26+E19+E20-E24</x:f>
        <x:v>387.5417493835967</x:v>
      </x:c>
      <x:c r="F26" s="4" t="n">
        <x:f>E26+F19+F20-F24</x:f>
        <x:v>451.0211417060802</x:v>
      </x:c>
      <x:c r="G26" s="4" t="n">
        <x:f>F26+G19+G20-G24</x:f>
        <x:v>520.1404382272038</x:v>
      </x:c>
      <x:c r="H26" s="4" t="n">
        <x:f>G26+H19+H20-H24</x:f>
        <x:v>592.992448056408</x:v>
      </x:c>
      <x:c r="I26" s="4" t="n">
        <x:f>H26+I19+I20-I24</x:f>
        <x:v>670.0249282058206</x:v>
      </x:c>
      <x:c r="J26" s="1"/>
      <x:c r="K26" s="1"/>
      <x:c r="L26" s="1"/>
    </x:row>
    <x:row r="27" ht="22" customHeight="1">
      <x:c r="A27" s="1"/>
      <x:c r="B27" s="1"/>
      <x:c r="C27" s="1" t="str">
        <x:v>Parent allocation factor</x:v>
      </x:c>
      <x:c r="D27" s="11" t="n">
        <x:f>'Actuals Sources'!D25</x:f>
        <x:v>1</x:v>
      </x:c>
      <x:c r="E27" s="11" t="n">
        <x:f>'Actuals Sources'!D25</x:f>
        <x:v>1</x:v>
      </x:c>
      <x:c r="F27" s="11" t="n">
        <x:f>'Actuals Sources'!D25</x:f>
        <x:v>1</x:v>
      </x:c>
      <x:c r="G27" s="11" t="n">
        <x:f>'Actuals Sources'!D25</x:f>
        <x:v>1</x:v>
      </x:c>
      <x:c r="H27" s="11" t="n">
        <x:f>'Actuals Sources'!D25</x:f>
        <x:v>1</x:v>
      </x:c>
      <x:c r="I27" s="11" t="n">
        <x:f>'Actuals Sources'!D25</x:f>
        <x:v>1</x:v>
      </x:c>
      <x:c r="J27" s="1"/>
      <x:c r="K27" s="1"/>
      <x:c r="L27" s="1"/>
    </x:row>
    <x:row r="28" ht="22" customHeight="1">
      <x:c r="A28" s="1"/>
      <x:c r="B28" s="1"/>
      <x:c r="C28" s="1"/>
      <x:c r="D28" s="4"/>
      <x:c r="E28" s="4"/>
      <x:c r="F28" s="4"/>
      <x:c r="G28" s="4"/>
      <x:c r="H28" s="4"/>
      <x:c r="I28" s="4"/>
      <x:c r="J28" s="1"/>
      <x:c r="K28" s="1"/>
      <x:c r="L28" s="1"/>
    </x:row>
    <x:row r="29" ht="22" customHeight="1">
      <x:c r="A29" s="1"/>
      <x:c r="B29" s="1"/>
      <x:c r="C29" s="1"/>
      <x:c r="D29" s="4"/>
      <x:c r="E29" s="4"/>
      <x:c r="F29" s="4"/>
      <x:c r="G29" s="4"/>
      <x:c r="H29" s="4"/>
      <x:c r="I29" s="4"/>
      <x:c r="J29" s="1"/>
      <x:c r="K29" s="1"/>
      <x:c r="L29" s="1"/>
    </x:row>
    <x:row r="30" ht="22" customHeight="1">
      <x:c r="A30" s="1"/>
      <x:c r="B30" s="1"/>
      <x:c r="C30" s="1"/>
      <x:c r="D30" s="4"/>
      <x:c r="E30" s="4"/>
      <x:c r="F30" s="4"/>
      <x:c r="G30" s="4"/>
      <x:c r="H30" s="4"/>
      <x:c r="I30" s="4"/>
      <x:c r="J30" s="1"/>
      <x:c r="K30" s="1"/>
      <x:c r="L30" s="1"/>
    </x:row>
    <x:row r="31" ht="22" customHeight="1">
      <x:c r="A31" s="1"/>
      <x:c r="B31" s="1"/>
      <x:c r="C31" s="1"/>
      <x:c r="D31" s="4"/>
      <x:c r="E31" s="4"/>
      <x:c r="F31" s="4"/>
      <x:c r="G31" s="4"/>
      <x:c r="H31" s="4"/>
      <x:c r="I31" s="4"/>
      <x:c r="J31" s="1"/>
      <x:c r="K31" s="1"/>
      <x:c r="L31" s="1"/>
    </x:row>
    <x:row r="32" ht="22" customHeight="1">
      <x:c r="A32" s="1"/>
      <x:c r="B32" s="1"/>
      <x:c r="C32" s="1"/>
      <x:c r="D32" s="4"/>
      <x:c r="E32" s="4"/>
      <x:c r="F32" s="4"/>
      <x:c r="G32" s="4"/>
      <x:c r="H32" s="4"/>
      <x:c r="I32" s="4"/>
      <x:c r="J32" s="1"/>
      <x:c r="K32" s="1"/>
      <x:c r="L32" s="1"/>
    </x:row>
    <x:row r="33" ht="22" customHeight="1">
      <x:c r="A33" s="1"/>
      <x:c r="B33" s="1"/>
      <x:c r="C33" s="1"/>
      <x:c r="D33" s="4"/>
      <x:c r="E33" s="4"/>
      <x:c r="F33" s="4"/>
      <x:c r="G33" s="4"/>
      <x:c r="H33" s="4"/>
      <x:c r="I33" s="4"/>
      <x:c r="J33" s="1"/>
      <x:c r="K33" s="1"/>
      <x:c r="L33" s="1"/>
    </x:row>
    <x:row r="34" ht="22" customHeight="1">
      <x:c r="A34" s="1"/>
      <x:c r="B34" s="1"/>
      <x:c r="C34" s="1"/>
      <x:c r="D34" s="4"/>
      <x:c r="E34" s="4"/>
      <x:c r="F34" s="4"/>
      <x:c r="G34" s="4"/>
      <x:c r="H34" s="4"/>
      <x:c r="I34" s="4"/>
      <x:c r="J34" s="1"/>
      <x:c r="K34" s="1"/>
      <x:c r="L34" s="1"/>
    </x:row>
    <x:row r="35" ht="22" customHeight="1">
      <x:c r="A35" s="1"/>
      <x:c r="B35" s="1"/>
      <x:c r="C35" s="1"/>
      <x:c r="D35" s="4"/>
      <x:c r="E35" s="4"/>
      <x:c r="F35" s="4"/>
      <x:c r="G35" s="4"/>
      <x:c r="H35" s="4"/>
      <x:c r="I35" s="4"/>
      <x:c r="J35" s="1"/>
      <x:c r="K35" s="1"/>
      <x:c r="L35" s="1"/>
    </x:row>
    <x:row r="36" ht="22" customHeight="1">
      <x:c r="A36" s="1"/>
      <x:c r="B36" s="1"/>
      <x:c r="C36" s="1"/>
      <x:c r="D36" s="4"/>
      <x:c r="E36" s="4"/>
      <x:c r="F36" s="4"/>
      <x:c r="G36" s="4"/>
      <x:c r="H36" s="4"/>
      <x:c r="I36" s="4"/>
      <x:c r="J36" s="1"/>
      <x:c r="K36" s="1"/>
      <x:c r="L36" s="1"/>
    </x:row>
    <x:row r="37" ht="22" customHeight="1">
      <x:c r="A37" s="1"/>
      <x:c r="B37" s="1"/>
      <x:c r="C37" s="1"/>
      <x:c r="D37" s="4"/>
      <x:c r="E37" s="4"/>
      <x:c r="F37" s="4"/>
      <x:c r="G37" s="4"/>
      <x:c r="H37" s="4"/>
      <x:c r="I37" s="4"/>
      <x:c r="J37" s="1"/>
      <x:c r="K37" s="1"/>
      <x:c r="L37" s="1"/>
    </x:row>
    <x:row r="38" ht="22" customHeight="1">
      <x:c r="A38" s="1"/>
      <x:c r="B38" s="1"/>
      <x:c r="C38" s="1"/>
      <x:c r="D38" s="4"/>
      <x:c r="E38" s="4"/>
      <x:c r="F38" s="4"/>
      <x:c r="G38" s="4"/>
      <x:c r="H38" s="4"/>
      <x:c r="I38" s="4"/>
      <x:c r="J38" s="1"/>
      <x:c r="K38" s="1"/>
      <x:c r="L38" s="1"/>
    </x:row>
    <x:row r="39" ht="22" customHeight="1">
      <x:c r="A39" s="1"/>
      <x:c r="B39" s="1"/>
      <x:c r="C39" s="1"/>
      <x:c r="D39" s="4"/>
      <x:c r="E39" s="4"/>
      <x:c r="F39" s="4"/>
      <x:c r="G39" s="4"/>
      <x:c r="H39" s="4"/>
      <x:c r="I39" s="4"/>
      <x:c r="J39" s="1"/>
      <x:c r="K39" s="1"/>
      <x:c r="L39" s="1"/>
    </x:row>
    <x:row r="40" ht="22" customHeight="1">
      <x:c r="A40" s="1"/>
      <x:c r="B40" s="1"/>
      <x:c r="C40" s="1"/>
      <x:c r="D40" s="4"/>
      <x:c r="E40" s="4"/>
      <x:c r="F40" s="4"/>
      <x:c r="G40" s="4"/>
      <x:c r="H40" s="4"/>
      <x:c r="I40" s="4"/>
      <x:c r="J40" s="1"/>
      <x:c r="K40" s="1"/>
      <x:c r="L40" s="1"/>
    </x:row>
    <x:row r="41" ht="22" customHeight="1">
      <x:c r="A41" s="1"/>
      <x:c r="B41" s="1"/>
      <x:c r="C41" s="1"/>
      <x:c r="D41" s="4"/>
      <x:c r="E41" s="4"/>
      <x:c r="F41" s="4"/>
      <x:c r="G41" s="4"/>
      <x:c r="H41" s="4"/>
      <x:c r="I41" s="4"/>
      <x:c r="J41" s="1"/>
      <x:c r="K41" s="1"/>
      <x:c r="L41" s="1"/>
    </x:row>
    <x:row r="42" ht="22" customHeight="1">
      <x:c r="A42" s="1"/>
      <x:c r="B42" s="1"/>
      <x:c r="C42" s="1"/>
      <x:c r="D42" s="4"/>
      <x:c r="E42" s="4"/>
      <x:c r="F42" s="4"/>
      <x:c r="G42" s="4"/>
      <x:c r="H42" s="4"/>
      <x:c r="I42" s="4"/>
      <x:c r="J42" s="1"/>
      <x:c r="K42" s="1"/>
      <x:c r="L42" s="1"/>
    </x:row>
    <x:row r="43" ht="22" customHeight="1">
      <x:c r="A43" s="1"/>
      <x:c r="B43" s="1"/>
      <x:c r="C43" s="1"/>
      <x:c r="D43" s="4"/>
      <x:c r="E43" s="4"/>
      <x:c r="F43" s="4"/>
      <x:c r="G43" s="4"/>
      <x:c r="H43" s="4"/>
      <x:c r="I43" s="4"/>
      <x:c r="J43" s="1"/>
      <x:c r="K43" s="1"/>
      <x:c r="L43" s="1"/>
    </x:row>
    <x:row r="44" ht="22" customHeight="1">
      <x:c r="A44" s="1"/>
      <x:c r="B44" s="1"/>
      <x:c r="C44" s="1"/>
      <x:c r="D44" s="4"/>
      <x:c r="E44" s="4"/>
      <x:c r="F44" s="4"/>
      <x:c r="G44" s="4"/>
      <x:c r="H44" s="4"/>
      <x:c r="I44" s="4"/>
      <x:c r="J44" s="1"/>
      <x:c r="K44" s="1"/>
      <x:c r="L44" s="1"/>
    </x:row>
    <x:row r="45" ht="22" customHeight="1">
      <x:c r="A45" s="1"/>
      <x:c r="B45" s="1"/>
      <x:c r="C45" s="1"/>
      <x:c r="D45" s="4"/>
      <x:c r="E45" s="4"/>
      <x:c r="F45" s="4"/>
      <x:c r="G45" s="4"/>
      <x:c r="H45" s="4"/>
      <x:c r="I45" s="4"/>
      <x:c r="J45" s="1"/>
      <x:c r="K45" s="1"/>
      <x:c r="L45" s="1"/>
    </x:row>
    <x:row r="46" ht="22" customHeight="1">
      <x:c r="A46" s="1"/>
      <x:c r="B46" s="1"/>
      <x:c r="C46" s="1"/>
      <x:c r="D46" s="4"/>
      <x:c r="E46" s="4"/>
      <x:c r="F46" s="4"/>
      <x:c r="G46" s="4"/>
      <x:c r="H46" s="4"/>
      <x:c r="I46" s="4"/>
      <x:c r="J46" s="1"/>
      <x:c r="K46" s="1"/>
      <x:c r="L46" s="1"/>
    </x:row>
    <x:row r="47" ht="22" customHeight="1">
      <x:c r="A47" s="1"/>
      <x:c r="B47" s="1"/>
      <x:c r="C47" s="1"/>
      <x:c r="D47" s="4"/>
      <x:c r="E47" s="4"/>
      <x:c r="F47" s="4"/>
      <x:c r="G47" s="4"/>
      <x:c r="H47" s="4"/>
      <x:c r="I47" s="4"/>
      <x:c r="J47" s="1"/>
      <x:c r="K47" s="1"/>
      <x:c r="L47" s="1"/>
    </x:row>
    <x:row r="48" ht="22" customHeight="1">
      <x:c r="A48" s="1"/>
      <x:c r="B48" s="1"/>
      <x:c r="C48" s="1"/>
      <x:c r="D48" s="4"/>
      <x:c r="E48" s="4"/>
      <x:c r="F48" s="4"/>
      <x:c r="G48" s="4"/>
      <x:c r="H48" s="4"/>
      <x:c r="I48" s="4"/>
      <x:c r="J48" s="1"/>
      <x:c r="K48" s="1"/>
      <x:c r="L48" s="1"/>
    </x:row>
    <x:row r="49" ht="22" customHeight="1">
      <x:c r="A49" s="1"/>
      <x:c r="B49" s="1"/>
      <x:c r="C49" s="1"/>
      <x:c r="D49" s="4"/>
      <x:c r="E49" s="4"/>
      <x:c r="F49" s="4"/>
      <x:c r="G49" s="4"/>
      <x:c r="H49" s="4"/>
      <x:c r="I49" s="4"/>
      <x:c r="J49" s="1"/>
      <x:c r="K49" s="1"/>
      <x:c r="L49" s="1"/>
    </x:row>
    <x:row r="50" ht="22" customHeight="1">
      <x:c r="A50" s="1"/>
      <x:c r="B50" s="1"/>
      <x:c r="C50" s="1"/>
      <x:c r="D50" s="4"/>
      <x:c r="E50" s="4"/>
      <x:c r="F50" s="4"/>
      <x:c r="G50" s="4"/>
      <x:c r="H50" s="4"/>
      <x:c r="I50" s="4"/>
      <x:c r="J50" s="1"/>
      <x:c r="K50" s="1"/>
      <x:c r="L50" s="1"/>
    </x:row>
    <x:row r="51" ht="22" customHeight="1">
      <x:c r="A51" s="1"/>
      <x:c r="B51" s="1"/>
      <x:c r="C51" s="1"/>
      <x:c r="D51" s="4"/>
      <x:c r="E51" s="4"/>
      <x:c r="F51" s="4"/>
      <x:c r="G51" s="4"/>
      <x:c r="H51" s="4"/>
      <x:c r="I51" s="4"/>
      <x:c r="J51" s="1"/>
      <x:c r="K51" s="1"/>
      <x:c r="L51" s="1"/>
    </x:row>
    <x:row r="52" ht="22" customHeight="1">
      <x:c r="A52" s="1"/>
      <x:c r="B52" s="1"/>
      <x:c r="C52" s="1"/>
      <x:c r="D52" s="4"/>
      <x:c r="E52" s="4"/>
      <x:c r="F52" s="4"/>
      <x:c r="G52" s="4"/>
      <x:c r="H52" s="4"/>
      <x:c r="I52" s="4"/>
      <x:c r="J52" s="1"/>
      <x:c r="K52" s="1"/>
      <x:c r="L52" s="1"/>
    </x:row>
    <x:row r="53" ht="22" customHeight="1">
      <x:c r="A53" s="1"/>
      <x:c r="B53" s="1"/>
      <x:c r="C53" s="1"/>
      <x:c r="D53" s="4"/>
      <x:c r="E53" s="4"/>
      <x:c r="F53" s="4"/>
      <x:c r="G53" s="4"/>
      <x:c r="H53" s="4"/>
      <x:c r="I53" s="4"/>
      <x:c r="J53" s="1"/>
      <x:c r="K53" s="1"/>
      <x:c r="L53" s="1"/>
    </x:row>
    <x:row r="54" ht="22" customHeight="1">
      <x:c r="A54" s="1"/>
      <x:c r="B54" s="1"/>
      <x:c r="C54" s="1"/>
      <x:c r="D54" s="4"/>
      <x:c r="E54" s="4"/>
      <x:c r="F54" s="4"/>
      <x:c r="G54" s="4"/>
      <x:c r="H54" s="4"/>
      <x:c r="I54" s="4"/>
      <x:c r="J54" s="1"/>
      <x:c r="K54" s="1"/>
      <x:c r="L54" s="1"/>
    </x:row>
    <x:row r="55" ht="22" customHeight="1">
      <x:c r="A55" s="1"/>
      <x:c r="B55" s="1"/>
      <x:c r="C55" s="1"/>
      <x:c r="D55" s="4"/>
      <x:c r="E55" s="4"/>
      <x:c r="F55" s="4"/>
      <x:c r="G55" s="4"/>
      <x:c r="H55" s="4"/>
      <x:c r="I55" s="4"/>
      <x:c r="J55" s="1"/>
      <x:c r="K55" s="1"/>
      <x:c r="L55" s="1"/>
    </x:row>
    <x:row r="56" ht="22" customHeight="1">
      <x:c r="A56" s="1"/>
      <x:c r="B56" s="1"/>
      <x:c r="C56" s="1"/>
      <x:c r="D56" s="4"/>
      <x:c r="E56" s="4"/>
      <x:c r="F56" s="4"/>
      <x:c r="G56" s="4"/>
      <x:c r="H56" s="4"/>
      <x:c r="I56" s="4"/>
      <x:c r="J56" s="1"/>
      <x:c r="K56" s="1"/>
      <x:c r="L56" s="1"/>
    </x:row>
    <x:row r="57" ht="22" customHeight="1">
      <x:c r="A57" s="1"/>
      <x:c r="B57" s="1"/>
      <x:c r="C57" s="1"/>
      <x:c r="D57" s="4"/>
      <x:c r="E57" s="4"/>
      <x:c r="F57" s="4"/>
      <x:c r="G57" s="4"/>
      <x:c r="H57" s="4"/>
      <x:c r="I57" s="4"/>
      <x:c r="J57" s="1"/>
      <x:c r="K57" s="1"/>
      <x:c r="L57" s="1"/>
    </x:row>
    <x:row r="58" ht="22" customHeight="1">
      <x:c r="A58" s="1"/>
      <x:c r="B58" s="1"/>
      <x:c r="C58" s="1"/>
      <x:c r="D58" s="4"/>
      <x:c r="E58" s="4"/>
      <x:c r="F58" s="4"/>
      <x:c r="G58" s="4"/>
      <x:c r="H58" s="4"/>
      <x:c r="I58" s="4"/>
      <x:c r="J58" s="1"/>
      <x:c r="K58" s="1"/>
      <x:c r="L58" s="1"/>
    </x:row>
    <x:row r="59" ht="22" customHeight="1">
      <x:c r="A59" s="1"/>
      <x:c r="B59" s="1"/>
      <x:c r="C59" s="1"/>
      <x:c r="D59" s="4"/>
      <x:c r="E59" s="4"/>
      <x:c r="F59" s="4"/>
      <x:c r="G59" s="4"/>
      <x:c r="H59" s="4"/>
      <x:c r="I59" s="4"/>
      <x:c r="J59" s="1"/>
      <x:c r="K59" s="1"/>
      <x:c r="L59" s="1"/>
    </x:row>
    <x:row r="60" ht="22" customHeight="1">
      <x:c r="A60" s="1"/>
      <x:c r="B60" s="1"/>
      <x:c r="C60" s="1"/>
      <x:c r="D60" s="4"/>
      <x:c r="E60" s="4"/>
      <x:c r="F60" s="4"/>
      <x:c r="G60" s="4"/>
      <x:c r="H60" s="4"/>
      <x:c r="I60" s="4"/>
      <x:c r="J60" s="1"/>
      <x:c r="K60" s="1"/>
      <x:c r="L60" s="1"/>
    </x:row>
    <x:row r="61" ht="22" customHeight="1">
      <x:c r="A61" s="1"/>
      <x:c r="B61" s="1"/>
      <x:c r="C61" s="1"/>
      <x:c r="D61" s="4"/>
      <x:c r="E61" s="4"/>
      <x:c r="F61" s="4"/>
      <x:c r="G61" s="4"/>
      <x:c r="H61" s="4"/>
      <x:c r="I61" s="4"/>
      <x:c r="J61" s="1"/>
      <x:c r="K61" s="1"/>
      <x:c r="L61" s="1"/>
    </x:row>
    <x:row r="62" ht="22" customHeight="1">
      <x:c r="A62" s="1"/>
      <x:c r="B62" s="1"/>
      <x:c r="C62" s="1"/>
      <x:c r="D62" s="4"/>
      <x:c r="E62" s="4"/>
      <x:c r="F62" s="4"/>
      <x:c r="G62" s="4"/>
      <x:c r="H62" s="4"/>
      <x:c r="I62" s="4"/>
      <x:c r="J62" s="1"/>
      <x:c r="K62" s="1"/>
      <x:c r="L62" s="1"/>
    </x:row>
    <x:row r="63" ht="22" customHeight="1">
      <x:c r="A63" s="1"/>
      <x:c r="B63" s="1"/>
      <x:c r="C63" s="1"/>
      <x:c r="D63" s="4"/>
      <x:c r="E63" s="4"/>
      <x:c r="F63" s="4"/>
      <x:c r="G63" s="4"/>
      <x:c r="H63" s="4"/>
      <x:c r="I63" s="4"/>
      <x:c r="J63" s="1"/>
      <x:c r="K63" s="1"/>
      <x:c r="L63" s="1"/>
    </x:row>
    <x:row r="64" ht="22" customHeight="1">
      <x:c r="A64" s="1"/>
      <x:c r="B64" s="1"/>
      <x:c r="C64" s="1"/>
      <x:c r="D64" s="4"/>
      <x:c r="E64" s="4"/>
      <x:c r="F64" s="4"/>
      <x:c r="G64" s="4"/>
      <x:c r="H64" s="4"/>
      <x:c r="I64" s="4"/>
      <x:c r="J64" s="1"/>
      <x:c r="K64" s="1"/>
      <x:c r="L64" s="1"/>
    </x:row>
    <x:row r="65" ht="22" customHeight="1">
      <x:c r="A65" s="1"/>
      <x:c r="B65" s="1"/>
      <x:c r="C65" s="1"/>
      <x:c r="D65" s="4"/>
      <x:c r="E65" s="4"/>
      <x:c r="F65" s="4"/>
      <x:c r="G65" s="4"/>
      <x:c r="H65" s="4"/>
      <x:c r="I65" s="4"/>
      <x:c r="J65" s="1"/>
      <x:c r="K65" s="1"/>
      <x:c r="L65" s="1"/>
    </x:row>
    <x:row r="66" ht="22" customHeight="1">
      <x:c r="A66" s="1"/>
      <x:c r="B66" s="1"/>
      <x:c r="C66" s="1"/>
      <x:c r="D66" s="4"/>
      <x:c r="E66" s="4"/>
      <x:c r="F66" s="4"/>
      <x:c r="G66" s="4"/>
      <x:c r="H66" s="4"/>
      <x:c r="I66" s="4"/>
      <x:c r="J66" s="1"/>
      <x:c r="K66" s="1"/>
      <x:c r="L66" s="1"/>
    </x:row>
    <x:row r="67" ht="22" customHeight="1">
      <x:c r="A67" s="1"/>
      <x:c r="B67" s="1"/>
      <x:c r="C67" s="1"/>
      <x:c r="D67" s="4"/>
      <x:c r="E67" s="4"/>
      <x:c r="F67" s="4"/>
      <x:c r="G67" s="4"/>
      <x:c r="H67" s="4"/>
      <x:c r="I67" s="4"/>
      <x:c r="J67" s="1"/>
      <x:c r="K67" s="1"/>
      <x:c r="L67" s="1"/>
    </x:row>
    <x:row r="68" ht="22" customHeight="1">
      <x:c r="A68" s="1"/>
      <x:c r="B68" s="1"/>
      <x:c r="C68" s="1"/>
      <x:c r="D68" s="4"/>
      <x:c r="E68" s="4"/>
      <x:c r="F68" s="4"/>
      <x:c r="G68" s="4"/>
      <x:c r="H68" s="4"/>
      <x:c r="I68" s="4"/>
      <x:c r="J68" s="1"/>
      <x:c r="K68" s="1"/>
      <x:c r="L68" s="1"/>
    </x:row>
    <x:row r="69" ht="22" customHeight="1">
      <x:c r="A69" s="1"/>
      <x:c r="B69" s="1"/>
      <x:c r="C69" s="1"/>
      <x:c r="D69" s="4"/>
      <x:c r="E69" s="4"/>
      <x:c r="F69" s="4"/>
      <x:c r="G69" s="4"/>
      <x:c r="H69" s="4"/>
      <x:c r="I69" s="4"/>
      <x:c r="J69" s="1"/>
      <x:c r="K69" s="1"/>
      <x:c r="L69" s="1"/>
    </x:row>
    <x:row r="70" ht="22" customHeight="1">
      <x:c r="A70" s="1"/>
      <x:c r="B70" s="1"/>
      <x:c r="C70" s="1"/>
      <x:c r="D70" s="4"/>
      <x:c r="E70" s="4"/>
      <x:c r="F70" s="4"/>
      <x:c r="G70" s="4"/>
      <x:c r="H70" s="4"/>
      <x:c r="I70" s="4"/>
      <x:c r="J70" s="1"/>
      <x:c r="K70" s="1"/>
      <x:c r="L70" s="1"/>
    </x:row>
    <x:row r="71" ht="22" customHeight="1">
      <x:c r="A71" s="1"/>
      <x:c r="B71" s="1"/>
      <x:c r="C71" s="1"/>
      <x:c r="D71" s="4"/>
      <x:c r="E71" s="4"/>
      <x:c r="F71" s="4"/>
      <x:c r="G71" s="4"/>
      <x:c r="H71" s="4"/>
      <x:c r="I71" s="4"/>
      <x:c r="J71" s="1"/>
      <x:c r="K71" s="1"/>
      <x:c r="L71" s="1"/>
    </x:row>
    <x:row r="72" ht="22" customHeight="1">
      <x:c r="A72" s="1"/>
      <x:c r="B72" s="1"/>
      <x:c r="C72" s="1"/>
      <x:c r="D72" s="4"/>
      <x:c r="E72" s="4"/>
      <x:c r="F72" s="4"/>
      <x:c r="G72" s="4"/>
      <x:c r="H72" s="4"/>
      <x:c r="I72" s="4"/>
      <x:c r="J72" s="1"/>
      <x:c r="K72" s="1"/>
      <x:c r="L72" s="1"/>
    </x:row>
    <x:row r="73" ht="22" customHeight="1">
      <x:c r="A73" s="1"/>
      <x:c r="B73" s="1"/>
      <x:c r="C73" s="1"/>
      <x:c r="D73" s="4"/>
      <x:c r="E73" s="4"/>
      <x:c r="F73" s="4"/>
      <x:c r="G73" s="4"/>
      <x:c r="H73" s="4"/>
      <x:c r="I73" s="4"/>
      <x:c r="J73" s="1"/>
      <x:c r="K73" s="1"/>
      <x:c r="L73" s="1"/>
    </x:row>
    <x:row r="74" ht="22" customHeight="1">
      <x:c r="A74" s="1"/>
      <x:c r="B74" s="1"/>
      <x:c r="C74" s="1"/>
      <x:c r="D74" s="4"/>
      <x:c r="E74" s="4"/>
      <x:c r="F74" s="4"/>
      <x:c r="G74" s="4"/>
      <x:c r="H74" s="4"/>
      <x:c r="I74" s="4"/>
      <x:c r="J74" s="1"/>
      <x:c r="K74" s="1"/>
      <x:c r="L74" s="1"/>
    </x:row>
    <x:row r="75" ht="22" customHeight="1">
      <x:c r="A75" s="1"/>
      <x:c r="B75" s="1"/>
      <x:c r="C75" s="1"/>
      <x:c r="D75" s="4"/>
      <x:c r="E75" s="4"/>
      <x:c r="F75" s="4"/>
      <x:c r="G75" s="4"/>
      <x:c r="H75" s="4"/>
      <x:c r="I75" s="4"/>
      <x:c r="J75" s="1"/>
      <x:c r="K75" s="1"/>
      <x:c r="L75" s="1"/>
    </x:row>
    <x:row r="76" ht="22" customHeight="1">
      <x:c r="A76" s="1"/>
      <x:c r="B76" s="1"/>
      <x:c r="C76" s="1"/>
      <x:c r="D76" s="4"/>
      <x:c r="E76" s="4"/>
      <x:c r="F76" s="4"/>
      <x:c r="G76" s="4"/>
      <x:c r="H76" s="4"/>
      <x:c r="I76" s="4"/>
      <x:c r="J76" s="1"/>
      <x:c r="K76" s="1"/>
      <x:c r="L76" s="1"/>
    </x:row>
    <x:row r="77" ht="22" customHeight="1">
      <x:c r="A77" s="1"/>
      <x:c r="B77" s="1"/>
      <x:c r="C77" s="1"/>
      <x:c r="D77" s="4"/>
      <x:c r="E77" s="4"/>
      <x:c r="F77" s="4"/>
      <x:c r="G77" s="4"/>
      <x:c r="H77" s="4"/>
      <x:c r="I77" s="4"/>
      <x:c r="J77" s="1"/>
      <x:c r="K77" s="1"/>
      <x:c r="L77" s="1"/>
    </x:row>
    <x:row r="78" ht="22" customHeight="1">
      <x:c r="A78" s="1"/>
      <x:c r="B78" s="1"/>
      <x:c r="C78" s="1"/>
      <x:c r="D78" s="4"/>
      <x:c r="E78" s="4"/>
      <x:c r="F78" s="4"/>
      <x:c r="G78" s="4"/>
      <x:c r="H78" s="4"/>
      <x:c r="I78" s="4"/>
      <x:c r="J78" s="1"/>
      <x:c r="K78" s="1"/>
      <x:c r="L78" s="1"/>
    </x:row>
    <x:row r="79" ht="22" customHeight="1">
      <x:c r="A79" s="1"/>
      <x:c r="B79" s="1"/>
      <x:c r="C79" s="1"/>
      <x:c r="D79" s="4"/>
      <x:c r="E79" s="4"/>
      <x:c r="F79" s="4"/>
      <x:c r="G79" s="4"/>
      <x:c r="H79" s="4"/>
      <x:c r="I79" s="4"/>
      <x:c r="J79" s="1"/>
      <x:c r="K79" s="1"/>
      <x:c r="L79" s="1"/>
    </x:row>
    <x:row r="80" ht="22" customHeight="1">
      <x:c r="A80" s="1"/>
      <x:c r="B80" s="1"/>
      <x:c r="C80" s="1"/>
      <x:c r="D80" s="4"/>
      <x:c r="E80" s="4"/>
      <x:c r="F80" s="4"/>
      <x:c r="G80" s="4"/>
      <x:c r="H80" s="4"/>
      <x:c r="I80" s="4"/>
      <x:c r="J80" s="1"/>
      <x:c r="K80" s="1"/>
      <x:c r="L80" s="1"/>
    </x:row>
    <x:row r="81" ht="22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</x:row>
    <x:row r="82" ht="22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</x:row>
    <x:row r="83" ht="22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</x:row>
    <x:row r="84" ht="22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</x:row>
    <x:row r="85" ht="22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33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26" hidden="0" customWidth="1"/>
    <x:col min="11" max="11" width="26" hidden="0" customWidth="1"/>
    <x:col min="12" max="12" width="26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2" customHeight="1">
      <x:c r="A2" s="1"/>
      <x:c r="B2" s="1"/>
      <x:c r="C2" s="2" t="str">
        <x:v>Cash Equity Bridge</x:v>
      </x:c>
      <x:c r="D2" s="2"/>
      <x:c r="E2" s="2"/>
      <x:c r="F2" s="2"/>
      <x:c r="G2" s="2"/>
      <x:c r="H2" s="2"/>
      <x:c r="I2" s="2"/>
      <x:c r="J2" s="1"/>
      <x:c r="K2" s="1"/>
      <x:c r="L2" s="1"/>
    </x:row>
    <x:row r="3" ht="22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22" customHeight="1">
      <x:c r="A4" s="1"/>
      <x:c r="B4" s="1"/>
      <x:c r="C4" s="1" t="str">
        <x:v>Case selected</x:v>
      </x:c>
      <x:c r="D4" s="3" t="str">
        <x:f>Inputs!D3</x:f>
        <x:v>Base</x:v>
      </x:c>
      <x:c r="E4" s="1"/>
      <x:c r="F4" s="1"/>
      <x:c r="G4" s="1"/>
      <x:c r="H4" s="1"/>
      <x:c r="I4" s="1"/>
      <x:c r="J4" s="1"/>
      <x:c r="K4" s="1"/>
      <x:c r="L4" s="1"/>
    </x:row>
    <x:row r="5" ht="22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 ht="22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</x:row>
    <x:row r="7" ht="22" customHeight="1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</x:row>
    <x:row r="8" ht="22" customHeight="1">
      <x:c r="A8" s="1"/>
      <x:c r="B8" s="1"/>
      <x:c r="C8" s="1" t="str">
        <x:v>netcash_h1</x:v>
      </x:c>
      <x:c r="D8" s="9" t="n">
        <x:f>'Actuals Sources'!$D$14+'Actuals Sources'!$D$15-'Actuals Sources'!$D$16-'Actuals Sources'!$D$17</x:f>
        <x:v>292.00078385300003</x:v>
      </x:c>
      <x:c r="E8" s="4"/>
      <x:c r="F8" s="4"/>
      <x:c r="G8" s="4"/>
      <x:c r="H8" s="4"/>
      <x:c r="I8" s="4"/>
      <x:c r="J8" s="1"/>
      <x:c r="K8" s="1"/>
      <x:c r="L8" s="1"/>
    </x:row>
    <x:row r="9" ht="22" customHeight="1">
      <x:c r="A9" s="1"/>
      <x:c r="B9" s="1"/>
      <x:c r="C9" s="1" t="str">
        <x:v>h2_revenue</x:v>
      </x:c>
      <x:c r="D9" s="9" t="n">
        <x:f>Inputs!$D$18-'Actuals Sources'!$D$9</x:f>
        <x:v>190.235267644</x:v>
      </x:c>
      <x:c r="E9" s="4"/>
      <x:c r="F9" s="4"/>
      <x:c r="G9" s="4"/>
      <x:c r="H9" s="4"/>
      <x:c r="I9" s="4"/>
      <x:c r="J9" s="1"/>
      <x:c r="K9" s="1"/>
      <x:c r="L9" s="1"/>
    </x:row>
    <x:row r="10" ht="22" customHeight="1">
      <x:c r="A10" s="1"/>
      <x:c r="B10" s="1"/>
      <x:c r="C10" s="1" t="str">
        <x:v>h2_ebit</x:v>
      </x:c>
      <x:c r="D10" s="9" t="n">
        <x:f>Inputs!$D$18*Inputs!D37-'Actuals Sources'!$D$10</x:f>
        <x:v>56.84352802299999</x:v>
      </x:c>
      <x:c r="E10" s="4"/>
      <x:c r="F10" s="4"/>
      <x:c r="G10" s="4"/>
      <x:c r="H10" s="4"/>
      <x:c r="I10" s="4"/>
      <x:c r="J10" s="1"/>
      <x:c r="K10" s="1"/>
      <x:c r="L10" s="1"/>
    </x:row>
    <x:row r="11" ht="22" customHeight="1">
      <x:c r="A11" s="1"/>
      <x:c r="B11" s="1"/>
      <x:c r="C11" s="1" t="str">
        <x:v>h2_nopat</x:v>
      </x:c>
      <x:c r="D11" s="9" t="n">
        <x:f>D10*(1-Inputs!$D$19)</x:f>
        <x:v>43.201081297479995</x:v>
      </x:c>
      <x:c r="E11" s="4"/>
      <x:c r="F11" s="4"/>
      <x:c r="G11" s="4"/>
      <x:c r="H11" s="4"/>
      <x:c r="I11" s="4"/>
      <x:c r="J11" s="1"/>
      <x:c r="K11" s="1"/>
      <x:c r="L11" s="1"/>
    </x:row>
    <x:row r="12" ht="22" customHeight="1">
      <x:c r="A12" s="1"/>
      <x:c r="B12" s="1"/>
      <x:c r="C12" s="1" t="str">
        <x:v>h2_da</x:v>
      </x:c>
      <x:c r="D12" s="9" t="n">
        <x:f>Inputs!D42-'Actuals Sources'!$D$19</x:f>
        <x:v>7.627437</x:v>
      </x:c>
      <x:c r="E12" s="4"/>
      <x:c r="F12" s="4"/>
      <x:c r="G12" s="4"/>
      <x:c r="H12" s="4"/>
      <x:c r="I12" s="4"/>
      <x:c r="J12" s="1"/>
      <x:c r="K12" s="1"/>
      <x:c r="L12" s="1"/>
    </x:row>
    <x:row r="13" ht="22" customHeight="1">
      <x:c r="A13" s="1"/>
      <x:c r="B13" s="1"/>
      <x:c r="C13" s="1" t="str">
        <x:v>h2_capex</x:v>
      </x:c>
      <x:c r="D13" s="9" t="n">
        <x:f>Inputs!D47-'Actuals Sources'!$D$20</x:f>
        <x:v>8.928173306</x:v>
      </x:c>
      <x:c r="E13" s="4"/>
      <x:c r="F13" s="4"/>
      <x:c r="G13" s="4"/>
      <x:c r="H13" s="4"/>
      <x:c r="I13" s="4"/>
      <x:c r="J13" s="1"/>
      <x:c r="K13" s="1"/>
      <x:c r="L13" s="1"/>
    </x:row>
    <x:row r="14" ht="22" customHeight="1">
      <x:c r="A14" s="1"/>
      <x:c r="B14" s="1"/>
      <x:c r="C14" s="1" t="str">
        <x:v>h2_delta_nwc</x:v>
      </x:c>
      <x:c r="D14" s="9" t="n">
        <x:f>Inputs!$D$18*Inputs!D52-'Actuals Sources'!$D$18</x:f>
        <x:v>-1.1882796929999984</x:v>
      </x:c>
      <x:c r="E14" s="4"/>
      <x:c r="F14" s="4"/>
      <x:c r="G14" s="4"/>
      <x:c r="H14" s="4"/>
      <x:c r="I14" s="4"/>
      <x:c r="J14" s="1"/>
      <x:c r="K14" s="1"/>
      <x:c r="L14" s="1"/>
    </x:row>
    <x:row r="15" ht="22" customHeight="1">
      <x:c r="A15" s="1"/>
      <x:c r="B15" s="1"/>
      <x:c r="C15" s="1" t="str">
        <x:v>h2_fcff</x:v>
      </x:c>
      <x:c r="D15" s="4" t="n">
        <x:f>D11+D12-D13-D14</x:f>
        <x:v>43.088624684479996</x:v>
      </x:c>
      <x:c r="E15" s="4"/>
      <x:c r="F15" s="4"/>
      <x:c r="G15" s="4"/>
      <x:c r="H15" s="4"/>
      <x:c r="I15" s="4"/>
      <x:c r="J15" s="1"/>
      <x:c r="K15" s="1"/>
      <x:c r="L15" s="1"/>
    </x:row>
    <x:row r="16" ht="22" customHeight="1">
      <x:c r="A16" s="1"/>
      <x:c r="B16" s="1"/>
      <x:c r="C16" s="1" t="str">
        <x:v>h2_interest</x:v>
      </x:c>
      <x:c r="D16" s="9" t="n">
        <x:f>D8*Inputs!$D$20*0.5</x:f>
        <x:v>3.6500097981625004</x:v>
      </x:c>
      <x:c r="E16" s="4"/>
      <x:c r="F16" s="4"/>
      <x:c r="G16" s="4"/>
      <x:c r="H16" s="4"/>
      <x:c r="I16" s="4"/>
      <x:c r="J16" s="1"/>
      <x:c r="K16" s="1"/>
      <x:c r="L16" s="1"/>
    </x:row>
    <x:row r="17" ht="22" customHeight="1">
      <x:c r="A17" s="1"/>
      <x:c r="B17" s="1"/>
      <x:c r="C17" s="1" t="str">
        <x:v>h2_ni</x:v>
      </x:c>
      <x:c r="D17" s="9" t="n">
        <x:f>D11*'Actuals Sources'!D25+D16</x:f>
        <x:v>46.851091095642495</x:v>
      </x:c>
      <x:c r="E17" s="4"/>
      <x:c r="F17" s="4"/>
      <x:c r="G17" s="4"/>
      <x:c r="H17" s="4"/>
      <x:c r="I17" s="4"/>
      <x:c r="J17" s="1"/>
      <x:c r="K17" s="1"/>
      <x:c r="L17" s="1"/>
    </x:row>
    <x:row r="18" ht="22" customHeight="1">
      <x:c r="A18" s="1"/>
      <x:c r="B18" s="1"/>
      <x:c r="C18" s="1" t="str">
        <x:v>h2_dividend</x:v>
      </x:c>
      <x:c r="D18" s="9" t="n">
        <x:f>Inputs!$D$21</x:f>
        <x:v>8</x:v>
      </x:c>
      <x:c r="E18" s="4"/>
      <x:c r="F18" s="4"/>
      <x:c r="G18" s="4"/>
      <x:c r="H18" s="4"/>
      <x:c r="I18" s="4"/>
      <x:c r="J18" s="1"/>
      <x:c r="K18" s="1"/>
      <x:c r="L18" s="1"/>
    </x:row>
    <x:row r="19" ht="22" customHeight="1">
      <x:c r="A19" s="1"/>
      <x:c r="B19" s="1"/>
      <x:c r="C19" s="1" t="str">
        <x:v>h2_buyback</x:v>
      </x:c>
      <x:c r="D19" s="9" t="n">
        <x:f>Inputs!$D$22</x:f>
        <x:v>0</x:v>
      </x:c>
      <x:c r="E19" s="4"/>
      <x:c r="F19" s="4"/>
      <x:c r="G19" s="4"/>
      <x:c r="H19" s="4"/>
      <x:c r="I19" s="4"/>
      <x:c r="J19" s="1"/>
      <x:c r="K19" s="1"/>
      <x:c r="L19" s="1"/>
    </x:row>
    <x:row r="20" ht="22" customHeight="1">
      <x:c r="A20" s="1"/>
      <x:c r="B20" s="1"/>
      <x:c r="C20" s="1" t="str">
        <x:v>capital</x:v>
      </x:c>
      <x:c r="D20" s="9" t="n">
        <x:f>Inputs!$D$23</x:f>
        <x:v>0</x:v>
      </x:c>
      <x:c r="E20" s="4"/>
      <x:c r="F20" s="4"/>
      <x:c r="G20" s="4"/>
      <x:c r="H20" s="4"/>
      <x:c r="I20" s="4"/>
      <x:c r="J20" s="1"/>
      <x:c r="K20" s="1"/>
      <x:c r="L20" s="1"/>
    </x:row>
    <x:row r="21" ht="22" customHeight="1">
      <x:c r="A21" s="1"/>
      <x:c r="B21" s="1"/>
      <x:c r="C21" s="1" t="str">
        <x:v>netcash_2026e</x:v>
      </x:c>
      <x:c r="D21" s="4" t="n">
        <x:f>D8+D15+D16-D18-D19+D20</x:f>
        <x:v>330.73941833564254</x:v>
      </x:c>
      <x:c r="E21" s="4"/>
      <x:c r="F21" s="4"/>
      <x:c r="G21" s="4"/>
      <x:c r="H21" s="4"/>
      <x:c r="I21" s="4"/>
      <x:c r="J21" s="1"/>
      <x:c r="K21" s="1"/>
      <x:c r="L21" s="1"/>
    </x:row>
    <x:row r="22" ht="22" customHeight="1">
      <x:c r="A22" s="1"/>
      <x:c r="B22" s="1"/>
      <x:c r="C22" s="1" t="str">
        <x:v>book_2026e</x:v>
      </x:c>
      <x:c r="D22" s="9" t="n">
        <x:f>'Actuals Sources'!$D$12+D17-D18-D19+D20</x:f>
        <x:v>590.3052689456424</x:v>
      </x:c>
      <x:c r="E22" s="4"/>
      <x:c r="F22" s="4"/>
      <x:c r="G22" s="4"/>
      <x:c r="H22" s="4"/>
      <x:c r="I22" s="4"/>
      <x:c r="J22" s="1"/>
      <x:c r="K22" s="1"/>
      <x:c r="L22" s="1"/>
    </x:row>
    <x:row r="23" ht="22" customHeight="1">
      <x:c r="A23" s="1"/>
      <x:c r="B23" s="1"/>
      <x:c r="C23" s="1" t="str">
        <x:v>shares_mn</x:v>
      </x:c>
      <x:c r="D23" s="10" t="n">
        <x:f>'Actuals Sources'!$D$22+Inputs!$D$24</x:f>
        <x:v>11.179416</x:v>
      </x:c>
      <x:c r="E23" s="4"/>
      <x:c r="F23" s="4"/>
      <x:c r="G23" s="4"/>
      <x:c r="H23" s="4"/>
      <x:c r="I23" s="4"/>
      <x:c r="J23" s="1"/>
      <x:c r="K23" s="1"/>
      <x:c r="L23" s="1"/>
    </x:row>
    <x:row r="24" ht="22" customHeight="1">
      <x:c r="A24" s="1"/>
      <x:c r="B24" s="1"/>
      <x:c r="C24" s="1"/>
      <x:c r="D24" s="4"/>
      <x:c r="E24" s="4"/>
      <x:c r="F24" s="4"/>
      <x:c r="G24" s="4"/>
      <x:c r="H24" s="4"/>
      <x:c r="I24" s="4"/>
      <x:c r="J24" s="1"/>
      <x:c r="K24" s="1"/>
      <x:c r="L24" s="1"/>
    </x:row>
    <x:row r="25" ht="22" customHeight="1">
      <x:c r="A25" s="1"/>
      <x:c r="B25" s="1"/>
      <x:c r="C25" s="1"/>
      <x:c r="D25" s="4"/>
      <x:c r="E25" s="4"/>
      <x:c r="F25" s="4"/>
      <x:c r="G25" s="4"/>
      <x:c r="H25" s="4"/>
      <x:c r="I25" s="4"/>
      <x:c r="J25" s="1"/>
      <x:c r="K25" s="1"/>
      <x:c r="L25" s="1"/>
    </x:row>
    <x:row r="26" ht="22" customHeight="1">
      <x:c r="A26" s="1"/>
      <x:c r="B26" s="1"/>
      <x:c r="C26" s="1"/>
      <x:c r="D26" s="4"/>
      <x:c r="E26" s="4"/>
      <x:c r="F26" s="4"/>
      <x:c r="G26" s="4"/>
      <x:c r="H26" s="4"/>
      <x:c r="I26" s="4"/>
      <x:c r="J26" s="1"/>
      <x:c r="K26" s="1"/>
      <x:c r="L26" s="1"/>
    </x:row>
    <x:row r="27" ht="22" customHeight="1">
      <x:c r="A27" s="1"/>
      <x:c r="B27" s="1"/>
      <x:c r="C27" s="1"/>
      <x:c r="D27" s="4"/>
      <x:c r="E27" s="4"/>
      <x:c r="F27" s="4"/>
      <x:c r="G27" s="4"/>
      <x:c r="H27" s="4"/>
      <x:c r="I27" s="4"/>
      <x:c r="J27" s="1"/>
      <x:c r="K27" s="1"/>
      <x:c r="L27" s="1"/>
    </x:row>
    <x:row r="28" ht="22" customHeight="1">
      <x:c r="A28" s="1"/>
      <x:c r="B28" s="1"/>
      <x:c r="C28" s="1"/>
      <x:c r="D28" s="4"/>
      <x:c r="E28" s="4"/>
      <x:c r="F28" s="4"/>
      <x:c r="G28" s="4"/>
      <x:c r="H28" s="4"/>
      <x:c r="I28" s="4"/>
      <x:c r="J28" s="1"/>
      <x:c r="K28" s="1"/>
      <x:c r="L28" s="1"/>
    </x:row>
    <x:row r="29" ht="22" customHeight="1">
      <x:c r="A29" s="1"/>
      <x:c r="B29" s="1"/>
      <x:c r="C29" s="1"/>
      <x:c r="D29" s="4"/>
      <x:c r="E29" s="4"/>
      <x:c r="F29" s="4"/>
      <x:c r="G29" s="4"/>
      <x:c r="H29" s="4"/>
      <x:c r="I29" s="4"/>
      <x:c r="J29" s="1"/>
      <x:c r="K29" s="1"/>
      <x:c r="L29" s="1"/>
    </x:row>
    <x:row r="30" ht="22" customHeight="1">
      <x:c r="A30" s="1"/>
      <x:c r="B30" s="1"/>
      <x:c r="C30" s="1"/>
      <x:c r="D30" s="4"/>
      <x:c r="E30" s="4"/>
      <x:c r="F30" s="4"/>
      <x:c r="G30" s="4"/>
      <x:c r="H30" s="4"/>
      <x:c r="I30" s="4"/>
      <x:c r="J30" s="1"/>
      <x:c r="K30" s="1"/>
      <x:c r="L30" s="1"/>
    </x:row>
    <x:row r="31" ht="22" customHeight="1">
      <x:c r="A31" s="1"/>
      <x:c r="B31" s="1"/>
      <x:c r="C31" s="1"/>
      <x:c r="D31" s="4"/>
      <x:c r="E31" s="4"/>
      <x:c r="F31" s="4"/>
      <x:c r="G31" s="4"/>
      <x:c r="H31" s="4"/>
      <x:c r="I31" s="4"/>
      <x:c r="J31" s="1"/>
      <x:c r="K31" s="1"/>
      <x:c r="L31" s="1"/>
    </x:row>
    <x:row r="32" ht="22" customHeight="1">
      <x:c r="A32" s="1"/>
      <x:c r="B32" s="1"/>
      <x:c r="C32" s="1"/>
      <x:c r="D32" s="4"/>
      <x:c r="E32" s="4"/>
      <x:c r="F32" s="4"/>
      <x:c r="G32" s="4"/>
      <x:c r="H32" s="4"/>
      <x:c r="I32" s="4"/>
      <x:c r="J32" s="1"/>
      <x:c r="K32" s="1"/>
      <x:c r="L32" s="1"/>
    </x:row>
    <x:row r="33" ht="22" customHeight="1">
      <x:c r="A33" s="1"/>
      <x:c r="B33" s="1"/>
      <x:c r="C33" s="1"/>
      <x:c r="D33" s="4"/>
      <x:c r="E33" s="4"/>
      <x:c r="F33" s="4"/>
      <x:c r="G33" s="4"/>
      <x:c r="H33" s="4"/>
      <x:c r="I33" s="4"/>
      <x:c r="J33" s="1"/>
      <x:c r="K33" s="1"/>
      <x:c r="L33" s="1"/>
    </x:row>
    <x:row r="34" ht="22" customHeight="1">
      <x:c r="A34" s="1"/>
      <x:c r="B34" s="1"/>
      <x:c r="C34" s="1"/>
      <x:c r="D34" s="4"/>
      <x:c r="E34" s="4"/>
      <x:c r="F34" s="4"/>
      <x:c r="G34" s="4"/>
      <x:c r="H34" s="4"/>
      <x:c r="I34" s="4"/>
      <x:c r="J34" s="1"/>
      <x:c r="K34" s="1"/>
      <x:c r="L34" s="1"/>
    </x:row>
    <x:row r="35" ht="22" customHeight="1">
      <x:c r="A35" s="1"/>
      <x:c r="B35" s="1"/>
      <x:c r="C35" s="1"/>
      <x:c r="D35" s="4"/>
      <x:c r="E35" s="4"/>
      <x:c r="F35" s="4"/>
      <x:c r="G35" s="4"/>
      <x:c r="H35" s="4"/>
      <x:c r="I35" s="4"/>
      <x:c r="J35" s="1"/>
      <x:c r="K35" s="1"/>
      <x:c r="L35" s="1"/>
    </x:row>
    <x:row r="36" ht="22" customHeight="1">
      <x:c r="A36" s="1"/>
      <x:c r="B36" s="1"/>
      <x:c r="C36" s="1"/>
      <x:c r="D36" s="4"/>
      <x:c r="E36" s="4"/>
      <x:c r="F36" s="4"/>
      <x:c r="G36" s="4"/>
      <x:c r="H36" s="4"/>
      <x:c r="I36" s="4"/>
      <x:c r="J36" s="1"/>
      <x:c r="K36" s="1"/>
      <x:c r="L36" s="1"/>
    </x:row>
    <x:row r="37" ht="22" customHeight="1">
      <x:c r="A37" s="1"/>
      <x:c r="B37" s="1"/>
      <x:c r="C37" s="1"/>
      <x:c r="D37" s="4"/>
      <x:c r="E37" s="4"/>
      <x:c r="F37" s="4"/>
      <x:c r="G37" s="4"/>
      <x:c r="H37" s="4"/>
      <x:c r="I37" s="4"/>
      <x:c r="J37" s="1"/>
      <x:c r="K37" s="1"/>
      <x:c r="L37" s="1"/>
    </x:row>
    <x:row r="38" ht="22" customHeight="1">
      <x:c r="A38" s="1"/>
      <x:c r="B38" s="1"/>
      <x:c r="C38" s="1"/>
      <x:c r="D38" s="4"/>
      <x:c r="E38" s="4"/>
      <x:c r="F38" s="4"/>
      <x:c r="G38" s="4"/>
      <x:c r="H38" s="4"/>
      <x:c r="I38" s="4"/>
      <x:c r="J38" s="1"/>
      <x:c r="K38" s="1"/>
      <x:c r="L38" s="1"/>
    </x:row>
    <x:row r="39" ht="22" customHeight="1">
      <x:c r="A39" s="1"/>
      <x:c r="B39" s="1"/>
      <x:c r="C39" s="1"/>
      <x:c r="D39" s="4"/>
      <x:c r="E39" s="4"/>
      <x:c r="F39" s="4"/>
      <x:c r="G39" s="4"/>
      <x:c r="H39" s="4"/>
      <x:c r="I39" s="4"/>
      <x:c r="J39" s="1"/>
      <x:c r="K39" s="1"/>
      <x:c r="L39" s="1"/>
    </x:row>
    <x:row r="40" ht="22" customHeight="1">
      <x:c r="A40" s="1"/>
      <x:c r="B40" s="1"/>
      <x:c r="C40" s="1"/>
      <x:c r="D40" s="4"/>
      <x:c r="E40" s="4"/>
      <x:c r="F40" s="4"/>
      <x:c r="G40" s="4"/>
      <x:c r="H40" s="4"/>
      <x:c r="I40" s="4"/>
      <x:c r="J40" s="1"/>
      <x:c r="K40" s="1"/>
      <x:c r="L40" s="1"/>
    </x:row>
    <x:row r="41" ht="22" customHeight="1">
      <x:c r="A41" s="1"/>
      <x:c r="B41" s="1"/>
      <x:c r="C41" s="1"/>
      <x:c r="D41" s="4"/>
      <x:c r="E41" s="4"/>
      <x:c r="F41" s="4"/>
      <x:c r="G41" s="4"/>
      <x:c r="H41" s="4"/>
      <x:c r="I41" s="4"/>
      <x:c r="J41" s="1"/>
      <x:c r="K41" s="1"/>
      <x:c r="L41" s="1"/>
    </x:row>
    <x:row r="42" ht="22" customHeight="1">
      <x:c r="A42" s="1"/>
      <x:c r="B42" s="1"/>
      <x:c r="C42" s="1"/>
      <x:c r="D42" s="4"/>
      <x:c r="E42" s="4"/>
      <x:c r="F42" s="4"/>
      <x:c r="G42" s="4"/>
      <x:c r="H42" s="4"/>
      <x:c r="I42" s="4"/>
      <x:c r="J42" s="1"/>
      <x:c r="K42" s="1"/>
      <x:c r="L42" s="1"/>
    </x:row>
    <x:row r="43" ht="22" customHeight="1">
      <x:c r="A43" s="1"/>
      <x:c r="B43" s="1"/>
      <x:c r="C43" s="1"/>
      <x:c r="D43" s="4"/>
      <x:c r="E43" s="4"/>
      <x:c r="F43" s="4"/>
      <x:c r="G43" s="4"/>
      <x:c r="H43" s="4"/>
      <x:c r="I43" s="4"/>
      <x:c r="J43" s="1"/>
      <x:c r="K43" s="1"/>
      <x:c r="L43" s="1"/>
    </x:row>
    <x:row r="44" ht="22" customHeight="1">
      <x:c r="A44" s="1"/>
      <x:c r="B44" s="1"/>
      <x:c r="C44" s="1"/>
      <x:c r="D44" s="4"/>
      <x:c r="E44" s="4"/>
      <x:c r="F44" s="4"/>
      <x:c r="G44" s="4"/>
      <x:c r="H44" s="4"/>
      <x:c r="I44" s="4"/>
      <x:c r="J44" s="1"/>
      <x:c r="K44" s="1"/>
      <x:c r="L44" s="1"/>
    </x:row>
    <x:row r="45" ht="22" customHeight="1">
      <x:c r="A45" s="1"/>
      <x:c r="B45" s="1"/>
      <x:c r="C45" s="1"/>
      <x:c r="D45" s="4"/>
      <x:c r="E45" s="4"/>
      <x:c r="F45" s="4"/>
      <x:c r="G45" s="4"/>
      <x:c r="H45" s="4"/>
      <x:c r="I45" s="4"/>
      <x:c r="J45" s="1"/>
      <x:c r="K45" s="1"/>
      <x:c r="L45" s="1"/>
    </x:row>
    <x:row r="46" ht="22" customHeight="1">
      <x:c r="A46" s="1"/>
      <x:c r="B46" s="1"/>
      <x:c r="C46" s="1"/>
      <x:c r="D46" s="4"/>
      <x:c r="E46" s="4"/>
      <x:c r="F46" s="4"/>
      <x:c r="G46" s="4"/>
      <x:c r="H46" s="4"/>
      <x:c r="I46" s="4"/>
      <x:c r="J46" s="1"/>
      <x:c r="K46" s="1"/>
      <x:c r="L46" s="1"/>
    </x:row>
    <x:row r="47" ht="22" customHeight="1">
      <x:c r="A47" s="1"/>
      <x:c r="B47" s="1"/>
      <x:c r="C47" s="1"/>
      <x:c r="D47" s="4"/>
      <x:c r="E47" s="4"/>
      <x:c r="F47" s="4"/>
      <x:c r="G47" s="4"/>
      <x:c r="H47" s="4"/>
      <x:c r="I47" s="4"/>
      <x:c r="J47" s="1"/>
      <x:c r="K47" s="1"/>
      <x:c r="L47" s="1"/>
    </x:row>
    <x:row r="48" ht="22" customHeight="1">
      <x:c r="A48" s="1"/>
      <x:c r="B48" s="1"/>
      <x:c r="C48" s="1"/>
      <x:c r="D48" s="4"/>
      <x:c r="E48" s="4"/>
      <x:c r="F48" s="4"/>
      <x:c r="G48" s="4"/>
      <x:c r="H48" s="4"/>
      <x:c r="I48" s="4"/>
      <x:c r="J48" s="1"/>
      <x:c r="K48" s="1"/>
      <x:c r="L48" s="1"/>
    </x:row>
    <x:row r="49" ht="22" customHeight="1">
      <x:c r="A49" s="1"/>
      <x:c r="B49" s="1"/>
      <x:c r="C49" s="1"/>
      <x:c r="D49" s="4"/>
      <x:c r="E49" s="4"/>
      <x:c r="F49" s="4"/>
      <x:c r="G49" s="4"/>
      <x:c r="H49" s="4"/>
      <x:c r="I49" s="4"/>
      <x:c r="J49" s="1"/>
      <x:c r="K49" s="1"/>
      <x:c r="L49" s="1"/>
    </x:row>
    <x:row r="50" ht="22" customHeight="1">
      <x:c r="A50" s="1"/>
      <x:c r="B50" s="1"/>
      <x:c r="C50" s="1"/>
      <x:c r="D50" s="4"/>
      <x:c r="E50" s="4"/>
      <x:c r="F50" s="4"/>
      <x:c r="G50" s="4"/>
      <x:c r="H50" s="4"/>
      <x:c r="I50" s="4"/>
      <x:c r="J50" s="1"/>
      <x:c r="K50" s="1"/>
      <x:c r="L50" s="1"/>
    </x:row>
    <x:row r="51" ht="22" customHeight="1">
      <x:c r="A51" s="1"/>
      <x:c r="B51" s="1"/>
      <x:c r="C51" s="1"/>
      <x:c r="D51" s="4"/>
      <x:c r="E51" s="4"/>
      <x:c r="F51" s="4"/>
      <x:c r="G51" s="4"/>
      <x:c r="H51" s="4"/>
      <x:c r="I51" s="4"/>
      <x:c r="J51" s="1"/>
      <x:c r="K51" s="1"/>
      <x:c r="L51" s="1"/>
    </x:row>
    <x:row r="52" ht="22" customHeight="1">
      <x:c r="A52" s="1"/>
      <x:c r="B52" s="1"/>
      <x:c r="C52" s="1"/>
      <x:c r="D52" s="4"/>
      <x:c r="E52" s="4"/>
      <x:c r="F52" s="4"/>
      <x:c r="G52" s="4"/>
      <x:c r="H52" s="4"/>
      <x:c r="I52" s="4"/>
      <x:c r="J52" s="1"/>
      <x:c r="K52" s="1"/>
      <x:c r="L52" s="1"/>
    </x:row>
    <x:row r="53" ht="22" customHeight="1">
      <x:c r="A53" s="1"/>
      <x:c r="B53" s="1"/>
      <x:c r="C53" s="1"/>
      <x:c r="D53" s="4"/>
      <x:c r="E53" s="4"/>
      <x:c r="F53" s="4"/>
      <x:c r="G53" s="4"/>
      <x:c r="H53" s="4"/>
      <x:c r="I53" s="4"/>
      <x:c r="J53" s="1"/>
      <x:c r="K53" s="1"/>
      <x:c r="L53" s="1"/>
    </x:row>
    <x:row r="54" ht="22" customHeight="1">
      <x:c r="A54" s="1"/>
      <x:c r="B54" s="1"/>
      <x:c r="C54" s="1"/>
      <x:c r="D54" s="4"/>
      <x:c r="E54" s="4"/>
      <x:c r="F54" s="4"/>
      <x:c r="G54" s="4"/>
      <x:c r="H54" s="4"/>
      <x:c r="I54" s="4"/>
      <x:c r="J54" s="1"/>
      <x:c r="K54" s="1"/>
      <x:c r="L54" s="1"/>
    </x:row>
    <x:row r="55" ht="22" customHeight="1">
      <x:c r="A55" s="1"/>
      <x:c r="B55" s="1"/>
      <x:c r="C55" s="1"/>
      <x:c r="D55" s="4"/>
      <x:c r="E55" s="4"/>
      <x:c r="F55" s="4"/>
      <x:c r="G55" s="4"/>
      <x:c r="H55" s="4"/>
      <x:c r="I55" s="4"/>
      <x:c r="J55" s="1"/>
      <x:c r="K55" s="1"/>
      <x:c r="L55" s="1"/>
    </x:row>
    <x:row r="56" ht="22" customHeight="1">
      <x:c r="A56" s="1"/>
      <x:c r="B56" s="1"/>
      <x:c r="C56" s="1"/>
      <x:c r="D56" s="4"/>
      <x:c r="E56" s="4"/>
      <x:c r="F56" s="4"/>
      <x:c r="G56" s="4"/>
      <x:c r="H56" s="4"/>
      <x:c r="I56" s="4"/>
      <x:c r="J56" s="1"/>
      <x:c r="K56" s="1"/>
      <x:c r="L56" s="1"/>
    </x:row>
    <x:row r="57" ht="22" customHeight="1">
      <x:c r="A57" s="1"/>
      <x:c r="B57" s="1"/>
      <x:c r="C57" s="1"/>
      <x:c r="D57" s="4"/>
      <x:c r="E57" s="4"/>
      <x:c r="F57" s="4"/>
      <x:c r="G57" s="4"/>
      <x:c r="H57" s="4"/>
      <x:c r="I57" s="4"/>
      <x:c r="J57" s="1"/>
      <x:c r="K57" s="1"/>
      <x:c r="L57" s="1"/>
    </x:row>
    <x:row r="58" ht="22" customHeight="1">
      <x:c r="A58" s="1"/>
      <x:c r="B58" s="1"/>
      <x:c r="C58" s="1"/>
      <x:c r="D58" s="4"/>
      <x:c r="E58" s="4"/>
      <x:c r="F58" s="4"/>
      <x:c r="G58" s="4"/>
      <x:c r="H58" s="4"/>
      <x:c r="I58" s="4"/>
      <x:c r="J58" s="1"/>
      <x:c r="K58" s="1"/>
      <x:c r="L58" s="1"/>
    </x:row>
    <x:row r="59" ht="22" customHeight="1">
      <x:c r="A59" s="1"/>
      <x:c r="B59" s="1"/>
      <x:c r="C59" s="1"/>
      <x:c r="D59" s="4"/>
      <x:c r="E59" s="4"/>
      <x:c r="F59" s="4"/>
      <x:c r="G59" s="4"/>
      <x:c r="H59" s="4"/>
      <x:c r="I59" s="4"/>
      <x:c r="J59" s="1"/>
      <x:c r="K59" s="1"/>
      <x:c r="L59" s="1"/>
    </x:row>
    <x:row r="60" ht="22" customHeight="1">
      <x:c r="A60" s="1"/>
      <x:c r="B60" s="1"/>
      <x:c r="C60" s="1"/>
      <x:c r="D60" s="4"/>
      <x:c r="E60" s="4"/>
      <x:c r="F60" s="4"/>
      <x:c r="G60" s="4"/>
      <x:c r="H60" s="4"/>
      <x:c r="I60" s="4"/>
      <x:c r="J60" s="1"/>
      <x:c r="K60" s="1"/>
      <x:c r="L60" s="1"/>
    </x:row>
    <x:row r="61" ht="22" customHeight="1">
      <x:c r="A61" s="1"/>
      <x:c r="B61" s="1"/>
      <x:c r="C61" s="1"/>
      <x:c r="D61" s="4"/>
      <x:c r="E61" s="4"/>
      <x:c r="F61" s="4"/>
      <x:c r="G61" s="4"/>
      <x:c r="H61" s="4"/>
      <x:c r="I61" s="4"/>
      <x:c r="J61" s="1"/>
      <x:c r="K61" s="1"/>
      <x:c r="L61" s="1"/>
    </x:row>
    <x:row r="62" ht="22" customHeight="1">
      <x:c r="A62" s="1"/>
      <x:c r="B62" s="1"/>
      <x:c r="C62" s="1"/>
      <x:c r="D62" s="4"/>
      <x:c r="E62" s="4"/>
      <x:c r="F62" s="4"/>
      <x:c r="G62" s="4"/>
      <x:c r="H62" s="4"/>
      <x:c r="I62" s="4"/>
      <x:c r="J62" s="1"/>
      <x:c r="K62" s="1"/>
      <x:c r="L62" s="1"/>
    </x:row>
    <x:row r="63" ht="22" customHeight="1">
      <x:c r="A63" s="1"/>
      <x:c r="B63" s="1"/>
      <x:c r="C63" s="1"/>
      <x:c r="D63" s="4"/>
      <x:c r="E63" s="4"/>
      <x:c r="F63" s="4"/>
      <x:c r="G63" s="4"/>
      <x:c r="H63" s="4"/>
      <x:c r="I63" s="4"/>
      <x:c r="J63" s="1"/>
      <x:c r="K63" s="1"/>
      <x:c r="L63" s="1"/>
    </x:row>
    <x:row r="64" ht="22" customHeight="1">
      <x:c r="A64" s="1"/>
      <x:c r="B64" s="1"/>
      <x:c r="C64" s="1"/>
      <x:c r="D64" s="4"/>
      <x:c r="E64" s="4"/>
      <x:c r="F64" s="4"/>
      <x:c r="G64" s="4"/>
      <x:c r="H64" s="4"/>
      <x:c r="I64" s="4"/>
      <x:c r="J64" s="1"/>
      <x:c r="K64" s="1"/>
      <x:c r="L64" s="1"/>
    </x:row>
    <x:row r="65" ht="22" customHeight="1">
      <x:c r="A65" s="1"/>
      <x:c r="B65" s="1"/>
      <x:c r="C65" s="1"/>
      <x:c r="D65" s="4"/>
      <x:c r="E65" s="4"/>
      <x:c r="F65" s="4"/>
      <x:c r="G65" s="4"/>
      <x:c r="H65" s="4"/>
      <x:c r="I65" s="4"/>
      <x:c r="J65" s="1"/>
      <x:c r="K65" s="1"/>
      <x:c r="L65" s="1"/>
    </x:row>
    <x:row r="66" ht="22" customHeight="1">
      <x:c r="A66" s="1"/>
      <x:c r="B66" s="1"/>
      <x:c r="C66" s="1"/>
      <x:c r="D66" s="4"/>
      <x:c r="E66" s="4"/>
      <x:c r="F66" s="4"/>
      <x:c r="G66" s="4"/>
      <x:c r="H66" s="4"/>
      <x:c r="I66" s="4"/>
      <x:c r="J66" s="1"/>
      <x:c r="K66" s="1"/>
      <x:c r="L66" s="1"/>
    </x:row>
    <x:row r="67" ht="22" customHeight="1">
      <x:c r="A67" s="1"/>
      <x:c r="B67" s="1"/>
      <x:c r="C67" s="1"/>
      <x:c r="D67" s="4"/>
      <x:c r="E67" s="4"/>
      <x:c r="F67" s="4"/>
      <x:c r="G67" s="4"/>
      <x:c r="H67" s="4"/>
      <x:c r="I67" s="4"/>
      <x:c r="J67" s="1"/>
      <x:c r="K67" s="1"/>
      <x:c r="L67" s="1"/>
    </x:row>
    <x:row r="68" ht="22" customHeight="1">
      <x:c r="A68" s="1"/>
      <x:c r="B68" s="1"/>
      <x:c r="C68" s="1"/>
      <x:c r="D68" s="4"/>
      <x:c r="E68" s="4"/>
      <x:c r="F68" s="4"/>
      <x:c r="G68" s="4"/>
      <x:c r="H68" s="4"/>
      <x:c r="I68" s="4"/>
      <x:c r="J68" s="1"/>
      <x:c r="K68" s="1"/>
      <x:c r="L68" s="1"/>
    </x:row>
    <x:row r="69" ht="22" customHeight="1">
      <x:c r="A69" s="1"/>
      <x:c r="B69" s="1"/>
      <x:c r="C69" s="1"/>
      <x:c r="D69" s="4"/>
      <x:c r="E69" s="4"/>
      <x:c r="F69" s="4"/>
      <x:c r="G69" s="4"/>
      <x:c r="H69" s="4"/>
      <x:c r="I69" s="4"/>
      <x:c r="J69" s="1"/>
      <x:c r="K69" s="1"/>
      <x:c r="L69" s="1"/>
    </x:row>
    <x:row r="70" ht="22" customHeight="1">
      <x:c r="A70" s="1"/>
      <x:c r="B70" s="1"/>
      <x:c r="C70" s="1"/>
      <x:c r="D70" s="4"/>
      <x:c r="E70" s="4"/>
      <x:c r="F70" s="4"/>
      <x:c r="G70" s="4"/>
      <x:c r="H70" s="4"/>
      <x:c r="I70" s="4"/>
      <x:c r="J70" s="1"/>
      <x:c r="K70" s="1"/>
      <x:c r="L70" s="1"/>
    </x:row>
    <x:row r="71" ht="22" customHeight="1">
      <x:c r="A71" s="1"/>
      <x:c r="B71" s="1"/>
      <x:c r="C71" s="1"/>
      <x:c r="D71" s="4"/>
      <x:c r="E71" s="4"/>
      <x:c r="F71" s="4"/>
      <x:c r="G71" s="4"/>
      <x:c r="H71" s="4"/>
      <x:c r="I71" s="4"/>
      <x:c r="J71" s="1"/>
      <x:c r="K71" s="1"/>
      <x:c r="L71" s="1"/>
    </x:row>
    <x:row r="72" ht="22" customHeight="1">
      <x:c r="A72" s="1"/>
      <x:c r="B72" s="1"/>
      <x:c r="C72" s="1"/>
      <x:c r="D72" s="4"/>
      <x:c r="E72" s="4"/>
      <x:c r="F72" s="4"/>
      <x:c r="G72" s="4"/>
      <x:c r="H72" s="4"/>
      <x:c r="I72" s="4"/>
      <x:c r="J72" s="1"/>
      <x:c r="K72" s="1"/>
      <x:c r="L72" s="1"/>
    </x:row>
    <x:row r="73" ht="22" customHeight="1">
      <x:c r="A73" s="1"/>
      <x:c r="B73" s="1"/>
      <x:c r="C73" s="1"/>
      <x:c r="D73" s="4"/>
      <x:c r="E73" s="4"/>
      <x:c r="F73" s="4"/>
      <x:c r="G73" s="4"/>
      <x:c r="H73" s="4"/>
      <x:c r="I73" s="4"/>
      <x:c r="J73" s="1"/>
      <x:c r="K73" s="1"/>
      <x:c r="L73" s="1"/>
    </x:row>
    <x:row r="74" ht="22" customHeight="1">
      <x:c r="A74" s="1"/>
      <x:c r="B74" s="1"/>
      <x:c r="C74" s="1"/>
      <x:c r="D74" s="4"/>
      <x:c r="E74" s="4"/>
      <x:c r="F74" s="4"/>
      <x:c r="G74" s="4"/>
      <x:c r="H74" s="4"/>
      <x:c r="I74" s="4"/>
      <x:c r="J74" s="1"/>
      <x:c r="K74" s="1"/>
      <x:c r="L74" s="1"/>
    </x:row>
    <x:row r="75" ht="22" customHeight="1">
      <x:c r="A75" s="1"/>
      <x:c r="B75" s="1"/>
      <x:c r="C75" s="1"/>
      <x:c r="D75" s="4"/>
      <x:c r="E75" s="4"/>
      <x:c r="F75" s="4"/>
      <x:c r="G75" s="4"/>
      <x:c r="H75" s="4"/>
      <x:c r="I75" s="4"/>
      <x:c r="J75" s="1"/>
      <x:c r="K75" s="1"/>
      <x:c r="L75" s="1"/>
    </x:row>
    <x:row r="76" ht="22" customHeight="1">
      <x:c r="A76" s="1"/>
      <x:c r="B76" s="1"/>
      <x:c r="C76" s="1"/>
      <x:c r="D76" s="4"/>
      <x:c r="E76" s="4"/>
      <x:c r="F76" s="4"/>
      <x:c r="G76" s="4"/>
      <x:c r="H76" s="4"/>
      <x:c r="I76" s="4"/>
      <x:c r="J76" s="1"/>
      <x:c r="K76" s="1"/>
      <x:c r="L76" s="1"/>
    </x:row>
    <x:row r="77" ht="22" customHeight="1">
      <x:c r="A77" s="1"/>
      <x:c r="B77" s="1"/>
      <x:c r="C77" s="1"/>
      <x:c r="D77" s="4"/>
      <x:c r="E77" s="4"/>
      <x:c r="F77" s="4"/>
      <x:c r="G77" s="4"/>
      <x:c r="H77" s="4"/>
      <x:c r="I77" s="4"/>
      <x:c r="J77" s="1"/>
      <x:c r="K77" s="1"/>
      <x:c r="L77" s="1"/>
    </x:row>
    <x:row r="78" ht="22" customHeight="1">
      <x:c r="A78" s="1"/>
      <x:c r="B78" s="1"/>
      <x:c r="C78" s="1"/>
      <x:c r="D78" s="4"/>
      <x:c r="E78" s="4"/>
      <x:c r="F78" s="4"/>
      <x:c r="G78" s="4"/>
      <x:c r="H78" s="4"/>
      <x:c r="I78" s="4"/>
      <x:c r="J78" s="1"/>
      <x:c r="K78" s="1"/>
      <x:c r="L78" s="1"/>
    </x:row>
    <x:row r="79" ht="22" customHeight="1">
      <x:c r="A79" s="1"/>
      <x:c r="B79" s="1"/>
      <x:c r="C79" s="1"/>
      <x:c r="D79" s="4"/>
      <x:c r="E79" s="4"/>
      <x:c r="F79" s="4"/>
      <x:c r="G79" s="4"/>
      <x:c r="H79" s="4"/>
      <x:c r="I79" s="4"/>
      <x:c r="J79" s="1"/>
      <x:c r="K79" s="1"/>
      <x:c r="L79" s="1"/>
    </x:row>
    <x:row r="80" ht="22" customHeight="1">
      <x:c r="A80" s="1"/>
      <x:c r="B80" s="1"/>
      <x:c r="C80" s="1"/>
      <x:c r="D80" s="4"/>
      <x:c r="E80" s="4"/>
      <x:c r="F80" s="4"/>
      <x:c r="G80" s="4"/>
      <x:c r="H80" s="4"/>
      <x:c r="I80" s="4"/>
      <x:c r="J80" s="1"/>
      <x:c r="K80" s="1"/>
      <x:c r="L80" s="1"/>
    </x:row>
    <x:row r="81" ht="22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</x:row>
    <x:row r="82" ht="22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</x:row>
    <x:row r="83" ht="22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</x:row>
    <x:row r="84" ht="22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</x:row>
    <x:row r="85" ht="22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33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26" hidden="0" customWidth="1"/>
    <x:col min="11" max="11" width="26" hidden="0" customWidth="1"/>
    <x:col min="12" max="12" width="26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2" customHeight="1">
      <x:c r="A2" s="1"/>
      <x:c r="B2" s="1"/>
      <x:c r="C2" s="2" t="str">
        <x:v>DCF</x:v>
      </x:c>
      <x:c r="D2" s="2"/>
      <x:c r="E2" s="2"/>
      <x:c r="F2" s="2"/>
      <x:c r="G2" s="2"/>
      <x:c r="H2" s="2"/>
      <x:c r="I2" s="2"/>
      <x:c r="J2" s="1"/>
      <x:c r="K2" s="1"/>
      <x:c r="L2" s="1"/>
    </x:row>
    <x:row r="3" ht="22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22" customHeight="1">
      <x:c r="A4" s="1"/>
      <x:c r="B4" s="1"/>
      <x:c r="C4" s="1" t="str">
        <x:v>Case selected</x:v>
      </x:c>
      <x:c r="D4" s="3" t="str">
        <x:f>Inputs!D3</x:f>
        <x:v>Base</x:v>
      </x:c>
      <x:c r="E4" s="1"/>
      <x:c r="F4" s="1"/>
      <x:c r="G4" s="1"/>
      <x:c r="H4" s="1"/>
      <x:c r="I4" s="1"/>
      <x:c r="J4" s="1"/>
      <x:c r="K4" s="1"/>
      <x:c r="L4" s="1"/>
    </x:row>
    <x:row r="5" ht="22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 ht="22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</x:row>
    <x:row r="7" ht="27" customHeight="1">
      <x:c r="A7" s="1"/>
      <x:c r="B7" s="1"/>
      <x:c r="C7" s="18"/>
      <x:c r="D7" s="18" t="n">
        <x:v>2027</x:v>
      </x:c>
      <x:c r="E7" s="18" t="n">
        <x:v>2028</x:v>
      </x:c>
      <x:c r="F7" s="18" t="n">
        <x:v>2029</x:v>
      </x:c>
      <x:c r="G7" s="18" t="n">
        <x:v>2030</x:v>
      </x:c>
      <x:c r="H7" s="18" t="n">
        <x:v>2031</x:v>
      </x:c>
      <x:c r="I7" s="1"/>
      <x:c r="J7" s="1"/>
      <x:c r="K7" s="1"/>
      <x:c r="L7" s="1"/>
    </x:row>
    <x:row r="8" ht="22" customHeight="1">
      <x:c r="A8" s="1"/>
      <x:c r="B8" s="1"/>
      <x:c r="C8" s="1" t="str">
        <x:v>FCFF</x:v>
      </x:c>
      <x:c r="D8" s="9" t="n">
        <x:f>Forecast!E19</x:f>
        <x:v>86.49812</x:v>
      </x:c>
      <x:c r="E8" s="9" t="n">
        <x:f>Forecast!F19</x:f>
        <x:v>95.40847080000002</x:v>
      </x:c>
      <x:c r="F8" s="9" t="n">
        <x:f>Forecast!G19</x:f>
        <x:v>102.41965173599999</x:v>
      </x:c>
      <x:c r="G8" s="9" t="n">
        <x:f>Forecast!H19</x:f>
        <x:v>106.77231089048001</x:v>
      </x:c>
      <x:c r="H8" s="9" t="n">
        <x:f>Forecast!I19</x:f>
        <x:v>111.15820107334</x:v>
      </x:c>
      <x:c r="I8" s="4"/>
      <x:c r="J8" s="1"/>
      <x:c r="K8" s="1"/>
      <x:c r="L8" s="1"/>
    </x:row>
    <x:row r="9" ht="22" customHeight="1">
      <x:c r="A9" s="1"/>
      <x:c r="B9" s="1"/>
      <x:c r="C9" s="1" t="str">
        <x:v>Years from 2026 year-end</x:v>
      </x:c>
      <x:c r="D9" s="4" t="n">
        <x:v>1</x:v>
      </x:c>
      <x:c r="E9" s="4" t="n">
        <x:v>2</x:v>
      </x:c>
      <x:c r="F9" s="4" t="n">
        <x:v>3</x:v>
      </x:c>
      <x:c r="G9" s="4" t="n">
        <x:v>4</x:v>
      </x:c>
      <x:c r="H9" s="4" t="n">
        <x:v>5</x:v>
      </x:c>
      <x:c r="I9" s="4"/>
      <x:c r="J9" s="1"/>
      <x:c r="K9" s="1"/>
      <x:c r="L9" s="1"/>
    </x:row>
    <x:row r="10" ht="22" customHeight="1">
      <x:c r="A10" s="1"/>
      <x:c r="B10" s="1"/>
      <x:c r="C10" s="1" t="str">
        <x:v>Discount factor</x:v>
      </x:c>
      <x:c r="D10" s="9" t="n">
        <x:f>1/(1+Inputs!$D$9)^D9</x:f>
        <x:v>0.9090909090909091</x:v>
      </x:c>
      <x:c r="E10" s="9" t="n">
        <x:f>1/(1+Inputs!$D$9)^E9</x:f>
        <x:v>0.8264462809917354</x:v>
      </x:c>
      <x:c r="F10" s="9" t="n">
        <x:f>1/(1+Inputs!$D$9)^F9</x:f>
        <x:v>0.7513148009015775</x:v>
      </x:c>
      <x:c r="G10" s="9" t="n">
        <x:f>1/(1+Inputs!$D$9)^G9</x:f>
        <x:v>0.6830134553650705</x:v>
      </x:c>
      <x:c r="H10" s="9" t="n">
        <x:f>1/(1+Inputs!$D$9)^H9</x:f>
        <x:v>0.6209213230591549</x:v>
      </x:c>
      <x:c r="I10" s="4"/>
      <x:c r="J10" s="1"/>
      <x:c r="K10" s="1"/>
      <x:c r="L10" s="1"/>
    </x:row>
    <x:row r="11" ht="22" customHeight="1">
      <x:c r="A11" s="1"/>
      <x:c r="B11" s="1"/>
      <x:c r="C11" s="1" t="str">
        <x:v>PV FCFF</x:v>
      </x:c>
      <x:c r="D11" s="4" t="n">
        <x:f>D8*D10</x:f>
        <x:v>78.63465454545454</x:v>
      </x:c>
      <x:c r="E11" s="4" t="n">
        <x:f>E8*E10</x:f>
        <x:v>78.8499758677686</x:v>
      </x:c>
      <x:c r="F11" s="4" t="n">
        <x:f>F8*F10</x:f>
        <x:v>76.94940025244175</x:v>
      </x:c>
      <x:c r="G11" s="4" t="n">
        <x:f>G8*G10</x:f>
        <x:v>72.92692499862031</x:v>
      </x:c>
      <x:c r="H11" s="4" t="n">
        <x:f>H8*H10</x:f>
        <x:v>69.02049727933384</x:v>
      </x:c>
      <x:c r="I11" s="4"/>
      <x:c r="J11" s="1"/>
      <x:c r="K11" s="1"/>
      <x:c r="L11" s="1"/>
    </x:row>
    <x:row r="12" ht="22" customHeight="1">
      <x:c r="A12" s="1"/>
      <x:c r="B12" s="1"/>
      <x:c r="C12" s="1"/>
      <x:c r="D12" s="4"/>
      <x:c r="E12" s="4"/>
      <x:c r="F12" s="4"/>
      <x:c r="G12" s="4"/>
      <x:c r="H12" s="4"/>
      <x:c r="I12" s="4"/>
      <x:c r="J12" s="1"/>
      <x:c r="K12" s="1"/>
      <x:c r="L12" s="1"/>
    </x:row>
    <x:row r="13" ht="22" customHeight="1">
      <x:c r="A13" s="1"/>
      <x:c r="B13" s="1"/>
      <x:c r="C13" s="1"/>
      <x:c r="D13" s="4"/>
      <x:c r="E13" s="4"/>
      <x:c r="F13" s="4"/>
      <x:c r="G13" s="4"/>
      <x:c r="H13" s="4"/>
      <x:c r="I13" s="4"/>
      <x:c r="J13" s="1"/>
      <x:c r="K13" s="1"/>
      <x:c r="L13" s="1"/>
    </x:row>
    <x:row r="14" ht="22" customHeight="1">
      <x:c r="A14" s="1"/>
      <x:c r="B14" s="1"/>
      <x:c r="C14" s="1"/>
      <x:c r="D14" s="4"/>
      <x:c r="E14" s="4"/>
      <x:c r="F14" s="4"/>
      <x:c r="G14" s="4"/>
      <x:c r="H14" s="4"/>
      <x:c r="I14" s="4"/>
      <x:c r="J14" s="1"/>
      <x:c r="K14" s="1"/>
      <x:c r="L14" s="1"/>
    </x:row>
    <x:row r="15" ht="22" customHeight="1">
      <x:c r="A15" s="1"/>
      <x:c r="B15" s="1"/>
      <x:c r="C15" s="1" t="str">
        <x:v>PV explicit FCFF</x:v>
      </x:c>
      <x:c r="D15" s="4" t="n">
        <x:f>SUM(D11:H11)</x:f>
        <x:v>376.3814529436191</x:v>
      </x:c>
      <x:c r="E15" s="4"/>
      <x:c r="F15" s="4"/>
      <x:c r="G15" s="4"/>
      <x:c r="H15" s="4"/>
      <x:c r="I15" s="4"/>
      <x:c r="J15" s="1"/>
      <x:c r="K15" s="1"/>
      <x:c r="L15" s="1"/>
    </x:row>
    <x:row r="16" ht="22" customHeight="1">
      <x:c r="A16" s="1"/>
      <x:c r="B16" s="1"/>
      <x:c r="C16" s="1" t="str">
        <x:v>Terminal NOPAT</x:v>
      </x:c>
      <x:c r="D16" s="9" t="n">
        <x:f>Forecast!I13*(1+Inputs!$D$11)</x:f>
        <x:v>127.53452905411683</x:v>
      </x:c>
      <x:c r="E16" s="4"/>
      <x:c r="F16" s="4"/>
      <x:c r="G16" s="4"/>
      <x:c r="H16" s="4"/>
      <x:c r="I16" s="4"/>
      <x:c r="J16" s="1"/>
      <x:c r="K16" s="1"/>
      <x:c r="L16" s="1"/>
    </x:row>
    <x:row r="17" ht="22" customHeight="1">
      <x:c r="A17" s="1"/>
      <x:c r="B17" s="1"/>
      <x:c r="C17" s="1" t="str">
        <x:v>Terminal FCFF</x:v>
      </x:c>
      <x:c r="D17" s="9" t="n">
        <x:f>D16*(1-Inputs!$D$11/Inputs!$D$12)</x:f>
        <x:v>109.31531061781443</x:v>
      </x:c>
      <x:c r="E17" s="4"/>
      <x:c r="F17" s="4"/>
      <x:c r="G17" s="4"/>
      <x:c r="H17" s="4"/>
      <x:c r="I17" s="4"/>
      <x:c r="J17" s="1"/>
      <x:c r="K17" s="1"/>
      <x:c r="L17" s="1"/>
    </x:row>
    <x:row r="18" ht="22" customHeight="1">
      <x:c r="A18" s="1"/>
      <x:c r="B18" s="1"/>
      <x:c r="C18" s="1" t="str">
        <x:v>Terminal EV</x:v>
      </x:c>
      <x:c r="D18" s="9" t="n">
        <x:f>D17/(Inputs!$D$9-Inputs!$D$11)</x:f>
        <x:v>1366.4413827226804</x:v>
      </x:c>
      <x:c r="E18" s="4"/>
      <x:c r="F18" s="4"/>
      <x:c r="G18" s="4"/>
      <x:c r="H18" s="4"/>
      <x:c r="I18" s="4"/>
      <x:c r="J18" s="1"/>
      <x:c r="K18" s="1"/>
      <x:c r="L18" s="1"/>
    </x:row>
    <x:row r="19" ht="22" customHeight="1">
      <x:c r="A19" s="1"/>
      <x:c r="B19" s="1"/>
      <x:c r="C19" s="1" t="str">
        <x:v>PV terminal EV</x:v>
      </x:c>
      <x:c r="D19" s="9" t="n">
        <x:f>D18/(1+Inputs!$D$9)^5</x:f>
        <x:v>848.4525912429478</x:v>
      </x:c>
      <x:c r="E19" s="4"/>
      <x:c r="F19" s="4"/>
      <x:c r="G19" s="4"/>
      <x:c r="H19" s="4"/>
      <x:c r="I19" s="4"/>
      <x:c r="J19" s="1"/>
      <x:c r="K19" s="1"/>
      <x:c r="L19" s="1"/>
    </x:row>
    <x:row r="20" ht="22" customHeight="1">
      <x:c r="A20" s="1"/>
      <x:c r="B20" s="1"/>
      <x:c r="C20" s="1" t="str">
        <x:v>Operating EV</x:v>
      </x:c>
      <x:c r="D20" s="4" t="n">
        <x:f>D15+D19</x:f>
        <x:v>1224.8340441865669</x:v>
      </x:c>
      <x:c r="E20" s="4"/>
      <x:c r="F20" s="4"/>
      <x:c r="G20" s="4"/>
      <x:c r="H20" s="4"/>
      <x:c r="I20" s="4"/>
      <x:c r="J20" s="1"/>
      <x:c r="K20" s="1"/>
      <x:c r="L20" s="1"/>
    </x:row>
    <x:row r="21" ht="22" customHeight="1">
      <x:c r="A21" s="1"/>
      <x:c r="B21" s="1"/>
      <x:c r="C21" s="1" t="str">
        <x:v>2026E net cash</x:v>
      </x:c>
      <x:c r="D21" s="9" t="n">
        <x:f>'Cash Equity Bridge'!D21</x:f>
        <x:v>330.73941833564254</x:v>
      </x:c>
      <x:c r="E21" s="4"/>
      <x:c r="F21" s="4"/>
      <x:c r="G21" s="4"/>
      <x:c r="H21" s="4"/>
      <x:c r="I21" s="4"/>
      <x:c r="J21" s="1"/>
      <x:c r="K21" s="1"/>
      <x:c r="L21" s="1"/>
    </x:row>
    <x:row r="22" ht="22" customHeight="1">
      <x:c r="A22" s="1"/>
      <x:c r="B22" s="1"/>
      <x:c r="C22" s="1" t="str">
        <x:v>Non-operating assets</x:v>
      </x:c>
      <x:c r="D22" s="9" t="n">
        <x:f>'Actuals Sources'!$D$23</x:f>
        <x:v>0</x:v>
      </x:c>
      <x:c r="E22" s="4"/>
      <x:c r="F22" s="4"/>
      <x:c r="G22" s="4"/>
      <x:c r="H22" s="4"/>
      <x:c r="I22" s="4"/>
      <x:c r="J22" s="1"/>
      <x:c r="K22" s="1"/>
      <x:c r="L22" s="1"/>
    </x:row>
    <x:row r="23" ht="22" customHeight="1">
      <x:c r="A23" s="1"/>
      <x:c r="B23" s="1"/>
      <x:c r="C23" s="1" t="str">
        <x:v>NCI book proxy</x:v>
      </x:c>
      <x:c r="D23" s="9" t="n">
        <x:f>'Actuals Sources'!$D$13</x:f>
        <x:v>0</x:v>
      </x:c>
      <x:c r="E23" s="4"/>
      <x:c r="F23" s="4"/>
      <x:c r="G23" s="4"/>
      <x:c r="H23" s="4"/>
      <x:c r="I23" s="4"/>
      <x:c r="J23" s="1"/>
      <x:c r="K23" s="1"/>
      <x:c r="L23" s="1"/>
    </x:row>
    <x:row r="24" ht="22" customHeight="1">
      <x:c r="A24" s="1"/>
      <x:c r="B24" s="1"/>
      <x:c r="C24" s="1" t="str">
        <x:v>Parent equity value</x:v>
      </x:c>
      <x:c r="D24" s="4" t="n">
        <x:f>D20+D21+D22-D23</x:f>
        <x:v>1555.5734625222094</x:v>
      </x:c>
      <x:c r="E24" s="4"/>
      <x:c r="F24" s="4"/>
      <x:c r="G24" s="4"/>
      <x:c r="H24" s="4"/>
      <x:c r="I24" s="4"/>
      <x:c r="J24" s="1"/>
      <x:c r="K24" s="1"/>
      <x:c r="L24" s="1"/>
    </x:row>
    <x:row r="25" ht="22" customHeight="1">
      <x:c r="A25" s="1"/>
      <x:c r="B25" s="1"/>
      <x:c r="C25" s="1" t="str">
        <x:v>Shares million</x:v>
      </x:c>
      <x:c r="D25" s="9" t="n">
        <x:f>'Cash Equity Bridge'!D23</x:f>
        <x:v>11.179416</x:v>
      </x:c>
      <x:c r="E25" s="4"/>
      <x:c r="F25" s="4"/>
      <x:c r="G25" s="4"/>
      <x:c r="H25" s="4"/>
      <x:c r="I25" s="4"/>
      <x:c r="J25" s="1"/>
      <x:c r="K25" s="1"/>
      <x:c r="L25" s="1"/>
    </x:row>
    <x:row r="26" ht="22" customHeight="1">
      <x:c r="A26" s="1"/>
      <x:c r="B26" s="1"/>
      <x:c r="C26" s="1" t="str">
        <x:v>DCF KRW/share</x:v>
      </x:c>
      <x:c r="D26" s="4" t="n">
        <x:f>D24*1000/D25</x:f>
        <x:v>139146.21859694723</x:v>
      </x:c>
      <x:c r="E26" s="4"/>
      <x:c r="F26" s="4"/>
      <x:c r="G26" s="4"/>
      <x:c r="H26" s="4"/>
      <x:c r="I26" s="4"/>
      <x:c r="J26" s="1"/>
      <x:c r="K26" s="1"/>
      <x:c r="L26" s="1"/>
    </x:row>
    <x:row r="27" ht="22" customHeight="1">
      <x:c r="A27" s="1"/>
      <x:c r="B27" s="1"/>
      <x:c r="C27" s="1" t="str">
        <x:v>Terminal / EV</x:v>
      </x:c>
      <x:c r="D27" s="5" t="n">
        <x:f>D19/D20</x:f>
        <x:v>0.6927082042420037</x:v>
      </x:c>
      <x:c r="E27" s="4"/>
      <x:c r="F27" s="4"/>
      <x:c r="G27" s="4"/>
      <x:c r="H27" s="4"/>
      <x:c r="I27" s="4"/>
      <x:c r="J27" s="1"/>
      <x:c r="K27" s="1"/>
      <x:c r="L27" s="1"/>
    </x:row>
    <x:row r="28" ht="22" customHeight="1">
      <x:c r="A28" s="1"/>
      <x:c r="B28" s="1"/>
      <x:c r="C28" s="1"/>
      <x:c r="D28" s="4"/>
      <x:c r="E28" s="4"/>
      <x:c r="F28" s="4"/>
      <x:c r="G28" s="4"/>
      <x:c r="H28" s="4"/>
      <x:c r="I28" s="4"/>
      <x:c r="J28" s="1"/>
      <x:c r="K28" s="1"/>
      <x:c r="L28" s="1"/>
    </x:row>
    <x:row r="29" ht="22" customHeight="1">
      <x:c r="A29" s="1"/>
      <x:c r="B29" s="1"/>
      <x:c r="C29" s="1"/>
      <x:c r="D29" s="4"/>
      <x:c r="E29" s="4"/>
      <x:c r="F29" s="4"/>
      <x:c r="G29" s="4"/>
      <x:c r="H29" s="4"/>
      <x:c r="I29" s="4"/>
      <x:c r="J29" s="1"/>
      <x:c r="K29" s="1"/>
      <x:c r="L29" s="1"/>
    </x:row>
    <x:row r="30" ht="22" customHeight="1">
      <x:c r="A30" s="1"/>
      <x:c r="B30" s="1"/>
      <x:c r="C30" s="1"/>
      <x:c r="D30" s="4"/>
      <x:c r="E30" s="4"/>
      <x:c r="F30" s="4"/>
      <x:c r="G30" s="4"/>
      <x:c r="H30" s="4"/>
      <x:c r="I30" s="4"/>
      <x:c r="J30" s="1"/>
      <x:c r="K30" s="1"/>
      <x:c r="L30" s="1"/>
    </x:row>
    <x:row r="31" ht="22" customHeight="1">
      <x:c r="A31" s="1"/>
      <x:c r="B31" s="1"/>
      <x:c r="C31" s="1"/>
      <x:c r="D31" s="4"/>
      <x:c r="E31" s="4"/>
      <x:c r="F31" s="4"/>
      <x:c r="G31" s="4"/>
      <x:c r="H31" s="4"/>
      <x:c r="I31" s="4"/>
      <x:c r="J31" s="1"/>
      <x:c r="K31" s="1"/>
      <x:c r="L31" s="1"/>
    </x:row>
    <x:row r="32" ht="22" customHeight="1">
      <x:c r="A32" s="1"/>
      <x:c r="B32" s="1"/>
      <x:c r="C32" s="1"/>
      <x:c r="D32" s="4"/>
      <x:c r="E32" s="4"/>
      <x:c r="F32" s="4"/>
      <x:c r="G32" s="4"/>
      <x:c r="H32" s="4"/>
      <x:c r="I32" s="4"/>
      <x:c r="J32" s="1"/>
      <x:c r="K32" s="1"/>
      <x:c r="L32" s="1"/>
    </x:row>
    <x:row r="33" ht="22" customHeight="1">
      <x:c r="A33" s="1"/>
      <x:c r="B33" s="1"/>
      <x:c r="C33" s="1"/>
      <x:c r="D33" s="4"/>
      <x:c r="E33" s="4"/>
      <x:c r="F33" s="4"/>
      <x:c r="G33" s="4"/>
      <x:c r="H33" s="4"/>
      <x:c r="I33" s="4"/>
      <x:c r="J33" s="1"/>
      <x:c r="K33" s="1"/>
      <x:c r="L33" s="1"/>
    </x:row>
    <x:row r="34" ht="22" customHeight="1">
      <x:c r="A34" s="1"/>
      <x:c r="B34" s="1"/>
      <x:c r="C34" s="1"/>
      <x:c r="D34" s="4"/>
      <x:c r="E34" s="4"/>
      <x:c r="F34" s="4"/>
      <x:c r="G34" s="4"/>
      <x:c r="H34" s="4"/>
      <x:c r="I34" s="4"/>
      <x:c r="J34" s="1"/>
      <x:c r="K34" s="1"/>
      <x:c r="L34" s="1"/>
    </x:row>
    <x:row r="35" ht="22" customHeight="1">
      <x:c r="A35" s="1"/>
      <x:c r="B35" s="1"/>
      <x:c r="C35" s="1"/>
      <x:c r="D35" s="4"/>
      <x:c r="E35" s="4"/>
      <x:c r="F35" s="4"/>
      <x:c r="G35" s="4"/>
      <x:c r="H35" s="4"/>
      <x:c r="I35" s="4"/>
      <x:c r="J35" s="1"/>
      <x:c r="K35" s="1"/>
      <x:c r="L35" s="1"/>
    </x:row>
    <x:row r="36" ht="22" customHeight="1">
      <x:c r="A36" s="1"/>
      <x:c r="B36" s="1"/>
      <x:c r="C36" s="1"/>
      <x:c r="D36" s="4"/>
      <x:c r="E36" s="4"/>
      <x:c r="F36" s="4"/>
      <x:c r="G36" s="4"/>
      <x:c r="H36" s="4"/>
      <x:c r="I36" s="4"/>
      <x:c r="J36" s="1"/>
      <x:c r="K36" s="1"/>
      <x:c r="L36" s="1"/>
    </x:row>
    <x:row r="37" ht="22" customHeight="1">
      <x:c r="A37" s="1"/>
      <x:c r="B37" s="1"/>
      <x:c r="C37" s="1"/>
      <x:c r="D37" s="4"/>
      <x:c r="E37" s="4"/>
      <x:c r="F37" s="4"/>
      <x:c r="G37" s="4"/>
      <x:c r="H37" s="4"/>
      <x:c r="I37" s="4"/>
      <x:c r="J37" s="1"/>
      <x:c r="K37" s="1"/>
      <x:c r="L37" s="1"/>
    </x:row>
    <x:row r="38" ht="22" customHeight="1">
      <x:c r="A38" s="1"/>
      <x:c r="B38" s="1"/>
      <x:c r="C38" s="1"/>
      <x:c r="D38" s="4"/>
      <x:c r="E38" s="4"/>
      <x:c r="F38" s="4"/>
      <x:c r="G38" s="4"/>
      <x:c r="H38" s="4"/>
      <x:c r="I38" s="4"/>
      <x:c r="J38" s="1"/>
      <x:c r="K38" s="1"/>
      <x:c r="L38" s="1"/>
    </x:row>
    <x:row r="39" ht="22" customHeight="1">
      <x:c r="A39" s="1"/>
      <x:c r="B39" s="1"/>
      <x:c r="C39" s="1"/>
      <x:c r="D39" s="4"/>
      <x:c r="E39" s="4"/>
      <x:c r="F39" s="4"/>
      <x:c r="G39" s="4"/>
      <x:c r="H39" s="4"/>
      <x:c r="I39" s="4"/>
      <x:c r="J39" s="1"/>
      <x:c r="K39" s="1"/>
      <x:c r="L39" s="1"/>
    </x:row>
    <x:row r="40" ht="22" customHeight="1">
      <x:c r="A40" s="1"/>
      <x:c r="B40" s="1"/>
      <x:c r="C40" s="1"/>
      <x:c r="D40" s="4"/>
      <x:c r="E40" s="4"/>
      <x:c r="F40" s="4"/>
      <x:c r="G40" s="4"/>
      <x:c r="H40" s="4"/>
      <x:c r="I40" s="4"/>
      <x:c r="J40" s="1"/>
      <x:c r="K40" s="1"/>
      <x:c r="L40" s="1"/>
    </x:row>
    <x:row r="41" ht="22" customHeight="1">
      <x:c r="A41" s="1"/>
      <x:c r="B41" s="1"/>
      <x:c r="C41" s="1"/>
      <x:c r="D41" s="4"/>
      <x:c r="E41" s="4"/>
      <x:c r="F41" s="4"/>
      <x:c r="G41" s="4"/>
      <x:c r="H41" s="4"/>
      <x:c r="I41" s="4"/>
      <x:c r="J41" s="1"/>
      <x:c r="K41" s="1"/>
      <x:c r="L41" s="1"/>
    </x:row>
    <x:row r="42" ht="22" customHeight="1">
      <x:c r="A42" s="1"/>
      <x:c r="B42" s="1"/>
      <x:c r="C42" s="1"/>
      <x:c r="D42" s="4"/>
      <x:c r="E42" s="4"/>
      <x:c r="F42" s="4"/>
      <x:c r="G42" s="4"/>
      <x:c r="H42" s="4"/>
      <x:c r="I42" s="4"/>
      <x:c r="J42" s="1"/>
      <x:c r="K42" s="1"/>
      <x:c r="L42" s="1"/>
    </x:row>
    <x:row r="43" ht="22" customHeight="1">
      <x:c r="A43" s="1"/>
      <x:c r="B43" s="1"/>
      <x:c r="C43" s="1"/>
      <x:c r="D43" s="4"/>
      <x:c r="E43" s="4"/>
      <x:c r="F43" s="4"/>
      <x:c r="G43" s="4"/>
      <x:c r="H43" s="4"/>
      <x:c r="I43" s="4"/>
      <x:c r="J43" s="1"/>
      <x:c r="K43" s="1"/>
      <x:c r="L43" s="1"/>
    </x:row>
    <x:row r="44" ht="22" customHeight="1">
      <x:c r="A44" s="1"/>
      <x:c r="B44" s="1"/>
      <x:c r="C44" s="1"/>
      <x:c r="D44" s="4"/>
      <x:c r="E44" s="4"/>
      <x:c r="F44" s="4"/>
      <x:c r="G44" s="4"/>
      <x:c r="H44" s="4"/>
      <x:c r="I44" s="4"/>
      <x:c r="J44" s="1"/>
      <x:c r="K44" s="1"/>
      <x:c r="L44" s="1"/>
    </x:row>
    <x:row r="45" ht="22" customHeight="1">
      <x:c r="A45" s="1"/>
      <x:c r="B45" s="1"/>
      <x:c r="C45" s="1"/>
      <x:c r="D45" s="4"/>
      <x:c r="E45" s="4"/>
      <x:c r="F45" s="4"/>
      <x:c r="G45" s="4"/>
      <x:c r="H45" s="4"/>
      <x:c r="I45" s="4"/>
      <x:c r="J45" s="1"/>
      <x:c r="K45" s="1"/>
      <x:c r="L45" s="1"/>
    </x:row>
    <x:row r="46" ht="22" customHeight="1">
      <x:c r="A46" s="1"/>
      <x:c r="B46" s="1"/>
      <x:c r="C46" s="1"/>
      <x:c r="D46" s="4"/>
      <x:c r="E46" s="4"/>
      <x:c r="F46" s="4"/>
      <x:c r="G46" s="4"/>
      <x:c r="H46" s="4"/>
      <x:c r="I46" s="4"/>
      <x:c r="J46" s="1"/>
      <x:c r="K46" s="1"/>
      <x:c r="L46" s="1"/>
    </x:row>
    <x:row r="47" ht="22" customHeight="1">
      <x:c r="A47" s="1"/>
      <x:c r="B47" s="1"/>
      <x:c r="C47" s="1"/>
      <x:c r="D47" s="4"/>
      <x:c r="E47" s="4"/>
      <x:c r="F47" s="4"/>
      <x:c r="G47" s="4"/>
      <x:c r="H47" s="4"/>
      <x:c r="I47" s="4"/>
      <x:c r="J47" s="1"/>
      <x:c r="K47" s="1"/>
      <x:c r="L47" s="1"/>
    </x:row>
    <x:row r="48" ht="22" customHeight="1">
      <x:c r="A48" s="1"/>
      <x:c r="B48" s="1"/>
      <x:c r="C48" s="1"/>
      <x:c r="D48" s="4"/>
      <x:c r="E48" s="4"/>
      <x:c r="F48" s="4"/>
      <x:c r="G48" s="4"/>
      <x:c r="H48" s="4"/>
      <x:c r="I48" s="4"/>
      <x:c r="J48" s="1"/>
      <x:c r="K48" s="1"/>
      <x:c r="L48" s="1"/>
    </x:row>
    <x:row r="49" ht="22" customHeight="1">
      <x:c r="A49" s="1"/>
      <x:c r="B49" s="1"/>
      <x:c r="C49" s="1"/>
      <x:c r="D49" s="4"/>
      <x:c r="E49" s="4"/>
      <x:c r="F49" s="4"/>
      <x:c r="G49" s="4"/>
      <x:c r="H49" s="4"/>
      <x:c r="I49" s="4"/>
      <x:c r="J49" s="1"/>
      <x:c r="K49" s="1"/>
      <x:c r="L49" s="1"/>
    </x:row>
    <x:row r="50" ht="22" customHeight="1">
      <x:c r="A50" s="1"/>
      <x:c r="B50" s="1"/>
      <x:c r="C50" s="1"/>
      <x:c r="D50" s="4"/>
      <x:c r="E50" s="4"/>
      <x:c r="F50" s="4"/>
      <x:c r="G50" s="4"/>
      <x:c r="H50" s="4"/>
      <x:c r="I50" s="4"/>
      <x:c r="J50" s="1"/>
      <x:c r="K50" s="1"/>
      <x:c r="L50" s="1"/>
    </x:row>
    <x:row r="51" ht="22" customHeight="1">
      <x:c r="A51" s="1"/>
      <x:c r="B51" s="1"/>
      <x:c r="C51" s="1"/>
      <x:c r="D51" s="4"/>
      <x:c r="E51" s="4"/>
      <x:c r="F51" s="4"/>
      <x:c r="G51" s="4"/>
      <x:c r="H51" s="4"/>
      <x:c r="I51" s="4"/>
      <x:c r="J51" s="1"/>
      <x:c r="K51" s="1"/>
      <x:c r="L51" s="1"/>
    </x:row>
    <x:row r="52" ht="22" customHeight="1">
      <x:c r="A52" s="1"/>
      <x:c r="B52" s="1"/>
      <x:c r="C52" s="1"/>
      <x:c r="D52" s="4"/>
      <x:c r="E52" s="4"/>
      <x:c r="F52" s="4"/>
      <x:c r="G52" s="4"/>
      <x:c r="H52" s="4"/>
      <x:c r="I52" s="4"/>
      <x:c r="J52" s="1"/>
      <x:c r="K52" s="1"/>
      <x:c r="L52" s="1"/>
    </x:row>
    <x:row r="53" ht="22" customHeight="1">
      <x:c r="A53" s="1"/>
      <x:c r="B53" s="1"/>
      <x:c r="C53" s="1"/>
      <x:c r="D53" s="4"/>
      <x:c r="E53" s="4"/>
      <x:c r="F53" s="4"/>
      <x:c r="G53" s="4"/>
      <x:c r="H53" s="4"/>
      <x:c r="I53" s="4"/>
      <x:c r="J53" s="1"/>
      <x:c r="K53" s="1"/>
      <x:c r="L53" s="1"/>
    </x:row>
    <x:row r="54" ht="22" customHeight="1">
      <x:c r="A54" s="1"/>
      <x:c r="B54" s="1"/>
      <x:c r="C54" s="1"/>
      <x:c r="D54" s="4"/>
      <x:c r="E54" s="4"/>
      <x:c r="F54" s="4"/>
      <x:c r="G54" s="4"/>
      <x:c r="H54" s="4"/>
      <x:c r="I54" s="4"/>
      <x:c r="J54" s="1"/>
      <x:c r="K54" s="1"/>
      <x:c r="L54" s="1"/>
    </x:row>
    <x:row r="55" ht="22" customHeight="1">
      <x:c r="A55" s="1"/>
      <x:c r="B55" s="1"/>
      <x:c r="C55" s="1"/>
      <x:c r="D55" s="4"/>
      <x:c r="E55" s="4"/>
      <x:c r="F55" s="4"/>
      <x:c r="G55" s="4"/>
      <x:c r="H55" s="4"/>
      <x:c r="I55" s="4"/>
      <x:c r="J55" s="1"/>
      <x:c r="K55" s="1"/>
      <x:c r="L55" s="1"/>
    </x:row>
    <x:row r="56" ht="22" customHeight="1">
      <x:c r="A56" s="1"/>
      <x:c r="B56" s="1"/>
      <x:c r="C56" s="1"/>
      <x:c r="D56" s="4"/>
      <x:c r="E56" s="4"/>
      <x:c r="F56" s="4"/>
      <x:c r="G56" s="4"/>
      <x:c r="H56" s="4"/>
      <x:c r="I56" s="4"/>
      <x:c r="J56" s="1"/>
      <x:c r="K56" s="1"/>
      <x:c r="L56" s="1"/>
    </x:row>
    <x:row r="57" ht="22" customHeight="1">
      <x:c r="A57" s="1"/>
      <x:c r="B57" s="1"/>
      <x:c r="C57" s="1"/>
      <x:c r="D57" s="4"/>
      <x:c r="E57" s="4"/>
      <x:c r="F57" s="4"/>
      <x:c r="G57" s="4"/>
      <x:c r="H57" s="4"/>
      <x:c r="I57" s="4"/>
      <x:c r="J57" s="1"/>
      <x:c r="K57" s="1"/>
      <x:c r="L57" s="1"/>
    </x:row>
    <x:row r="58" ht="22" customHeight="1">
      <x:c r="A58" s="1"/>
      <x:c r="B58" s="1"/>
      <x:c r="C58" s="1"/>
      <x:c r="D58" s="4"/>
      <x:c r="E58" s="4"/>
      <x:c r="F58" s="4"/>
      <x:c r="G58" s="4"/>
      <x:c r="H58" s="4"/>
      <x:c r="I58" s="4"/>
      <x:c r="J58" s="1"/>
      <x:c r="K58" s="1"/>
      <x:c r="L58" s="1"/>
    </x:row>
    <x:row r="59" ht="22" customHeight="1">
      <x:c r="A59" s="1"/>
      <x:c r="B59" s="1"/>
      <x:c r="C59" s="1"/>
      <x:c r="D59" s="4"/>
      <x:c r="E59" s="4"/>
      <x:c r="F59" s="4"/>
      <x:c r="G59" s="4"/>
      <x:c r="H59" s="4"/>
      <x:c r="I59" s="4"/>
      <x:c r="J59" s="1"/>
      <x:c r="K59" s="1"/>
      <x:c r="L59" s="1"/>
    </x:row>
    <x:row r="60" ht="22" customHeight="1">
      <x:c r="A60" s="1"/>
      <x:c r="B60" s="1"/>
      <x:c r="C60" s="1"/>
      <x:c r="D60" s="4"/>
      <x:c r="E60" s="4"/>
      <x:c r="F60" s="4"/>
      <x:c r="G60" s="4"/>
      <x:c r="H60" s="4"/>
      <x:c r="I60" s="4"/>
      <x:c r="J60" s="1"/>
      <x:c r="K60" s="1"/>
      <x:c r="L60" s="1"/>
    </x:row>
    <x:row r="61" ht="22" customHeight="1">
      <x:c r="A61" s="1"/>
      <x:c r="B61" s="1"/>
      <x:c r="C61" s="1"/>
      <x:c r="D61" s="4"/>
      <x:c r="E61" s="4"/>
      <x:c r="F61" s="4"/>
      <x:c r="G61" s="4"/>
      <x:c r="H61" s="4"/>
      <x:c r="I61" s="4"/>
      <x:c r="J61" s="1"/>
      <x:c r="K61" s="1"/>
      <x:c r="L61" s="1"/>
    </x:row>
    <x:row r="62" ht="22" customHeight="1">
      <x:c r="A62" s="1"/>
      <x:c r="B62" s="1"/>
      <x:c r="C62" s="1"/>
      <x:c r="D62" s="4"/>
      <x:c r="E62" s="4"/>
      <x:c r="F62" s="4"/>
      <x:c r="G62" s="4"/>
      <x:c r="H62" s="4"/>
      <x:c r="I62" s="4"/>
      <x:c r="J62" s="1"/>
      <x:c r="K62" s="1"/>
      <x:c r="L62" s="1"/>
    </x:row>
    <x:row r="63" ht="22" customHeight="1">
      <x:c r="A63" s="1"/>
      <x:c r="B63" s="1"/>
      <x:c r="C63" s="1"/>
      <x:c r="D63" s="4"/>
      <x:c r="E63" s="4"/>
      <x:c r="F63" s="4"/>
      <x:c r="G63" s="4"/>
      <x:c r="H63" s="4"/>
      <x:c r="I63" s="4"/>
      <x:c r="J63" s="1"/>
      <x:c r="K63" s="1"/>
      <x:c r="L63" s="1"/>
    </x:row>
    <x:row r="64" ht="22" customHeight="1">
      <x:c r="A64" s="1"/>
      <x:c r="B64" s="1"/>
      <x:c r="C64" s="1"/>
      <x:c r="D64" s="4"/>
      <x:c r="E64" s="4"/>
      <x:c r="F64" s="4"/>
      <x:c r="G64" s="4"/>
      <x:c r="H64" s="4"/>
      <x:c r="I64" s="4"/>
      <x:c r="J64" s="1"/>
      <x:c r="K64" s="1"/>
      <x:c r="L64" s="1"/>
    </x:row>
    <x:row r="65" ht="22" customHeight="1">
      <x:c r="A65" s="1"/>
      <x:c r="B65" s="1"/>
      <x:c r="C65" s="1"/>
      <x:c r="D65" s="4"/>
      <x:c r="E65" s="4"/>
      <x:c r="F65" s="4"/>
      <x:c r="G65" s="4"/>
      <x:c r="H65" s="4"/>
      <x:c r="I65" s="4"/>
      <x:c r="J65" s="1"/>
      <x:c r="K65" s="1"/>
      <x:c r="L65" s="1"/>
    </x:row>
    <x:row r="66" ht="22" customHeight="1">
      <x:c r="A66" s="1"/>
      <x:c r="B66" s="1"/>
      <x:c r="C66" s="1"/>
      <x:c r="D66" s="4"/>
      <x:c r="E66" s="4"/>
      <x:c r="F66" s="4"/>
      <x:c r="G66" s="4"/>
      <x:c r="H66" s="4"/>
      <x:c r="I66" s="4"/>
      <x:c r="J66" s="1"/>
      <x:c r="K66" s="1"/>
      <x:c r="L66" s="1"/>
    </x:row>
    <x:row r="67" ht="22" customHeight="1">
      <x:c r="A67" s="1"/>
      <x:c r="B67" s="1"/>
      <x:c r="C67" s="1"/>
      <x:c r="D67" s="4"/>
      <x:c r="E67" s="4"/>
      <x:c r="F67" s="4"/>
      <x:c r="G67" s="4"/>
      <x:c r="H67" s="4"/>
      <x:c r="I67" s="4"/>
      <x:c r="J67" s="1"/>
      <x:c r="K67" s="1"/>
      <x:c r="L67" s="1"/>
    </x:row>
    <x:row r="68" ht="22" customHeight="1">
      <x:c r="A68" s="1"/>
      <x:c r="B68" s="1"/>
      <x:c r="C68" s="1"/>
      <x:c r="D68" s="4"/>
      <x:c r="E68" s="4"/>
      <x:c r="F68" s="4"/>
      <x:c r="G68" s="4"/>
      <x:c r="H68" s="4"/>
      <x:c r="I68" s="4"/>
      <x:c r="J68" s="1"/>
      <x:c r="K68" s="1"/>
      <x:c r="L68" s="1"/>
    </x:row>
    <x:row r="69" ht="22" customHeight="1">
      <x:c r="A69" s="1"/>
      <x:c r="B69" s="1"/>
      <x:c r="C69" s="1"/>
      <x:c r="D69" s="4"/>
      <x:c r="E69" s="4"/>
      <x:c r="F69" s="4"/>
      <x:c r="G69" s="4"/>
      <x:c r="H69" s="4"/>
      <x:c r="I69" s="4"/>
      <x:c r="J69" s="1"/>
      <x:c r="K69" s="1"/>
      <x:c r="L69" s="1"/>
    </x:row>
    <x:row r="70" ht="22" customHeight="1">
      <x:c r="A70" s="1"/>
      <x:c r="B70" s="1"/>
      <x:c r="C70" s="1"/>
      <x:c r="D70" s="4"/>
      <x:c r="E70" s="4"/>
      <x:c r="F70" s="4"/>
      <x:c r="G70" s="4"/>
      <x:c r="H70" s="4"/>
      <x:c r="I70" s="4"/>
      <x:c r="J70" s="1"/>
      <x:c r="K70" s="1"/>
      <x:c r="L70" s="1"/>
    </x:row>
    <x:row r="71" ht="22" customHeight="1">
      <x:c r="A71" s="1"/>
      <x:c r="B71" s="1"/>
      <x:c r="C71" s="1"/>
      <x:c r="D71" s="4"/>
      <x:c r="E71" s="4"/>
      <x:c r="F71" s="4"/>
      <x:c r="G71" s="4"/>
      <x:c r="H71" s="4"/>
      <x:c r="I71" s="4"/>
      <x:c r="J71" s="1"/>
      <x:c r="K71" s="1"/>
      <x:c r="L71" s="1"/>
    </x:row>
    <x:row r="72" ht="22" customHeight="1">
      <x:c r="A72" s="1"/>
      <x:c r="B72" s="1"/>
      <x:c r="C72" s="1"/>
      <x:c r="D72" s="4"/>
      <x:c r="E72" s="4"/>
      <x:c r="F72" s="4"/>
      <x:c r="G72" s="4"/>
      <x:c r="H72" s="4"/>
      <x:c r="I72" s="4"/>
      <x:c r="J72" s="1"/>
      <x:c r="K72" s="1"/>
      <x:c r="L72" s="1"/>
    </x:row>
    <x:row r="73" ht="22" customHeight="1">
      <x:c r="A73" s="1"/>
      <x:c r="B73" s="1"/>
      <x:c r="C73" s="1"/>
      <x:c r="D73" s="4"/>
      <x:c r="E73" s="4"/>
      <x:c r="F73" s="4"/>
      <x:c r="G73" s="4"/>
      <x:c r="H73" s="4"/>
      <x:c r="I73" s="4"/>
      <x:c r="J73" s="1"/>
      <x:c r="K73" s="1"/>
      <x:c r="L73" s="1"/>
    </x:row>
    <x:row r="74" ht="22" customHeight="1">
      <x:c r="A74" s="1"/>
      <x:c r="B74" s="1"/>
      <x:c r="C74" s="1"/>
      <x:c r="D74" s="4"/>
      <x:c r="E74" s="4"/>
      <x:c r="F74" s="4"/>
      <x:c r="G74" s="4"/>
      <x:c r="H74" s="4"/>
      <x:c r="I74" s="4"/>
      <x:c r="J74" s="1"/>
      <x:c r="K74" s="1"/>
      <x:c r="L74" s="1"/>
    </x:row>
    <x:row r="75" ht="22" customHeight="1">
      <x:c r="A75" s="1"/>
      <x:c r="B75" s="1"/>
      <x:c r="C75" s="1"/>
      <x:c r="D75" s="4"/>
      <x:c r="E75" s="4"/>
      <x:c r="F75" s="4"/>
      <x:c r="G75" s="4"/>
      <x:c r="H75" s="4"/>
      <x:c r="I75" s="4"/>
      <x:c r="J75" s="1"/>
      <x:c r="K75" s="1"/>
      <x:c r="L75" s="1"/>
    </x:row>
    <x:row r="76" ht="22" customHeight="1">
      <x:c r="A76" s="1"/>
      <x:c r="B76" s="1"/>
      <x:c r="C76" s="1"/>
      <x:c r="D76" s="4"/>
      <x:c r="E76" s="4"/>
      <x:c r="F76" s="4"/>
      <x:c r="G76" s="4"/>
      <x:c r="H76" s="4"/>
      <x:c r="I76" s="4"/>
      <x:c r="J76" s="1"/>
      <x:c r="K76" s="1"/>
      <x:c r="L76" s="1"/>
    </x:row>
    <x:row r="77" ht="22" customHeight="1">
      <x:c r="A77" s="1"/>
      <x:c r="B77" s="1"/>
      <x:c r="C77" s="1"/>
      <x:c r="D77" s="4"/>
      <x:c r="E77" s="4"/>
      <x:c r="F77" s="4"/>
      <x:c r="G77" s="4"/>
      <x:c r="H77" s="4"/>
      <x:c r="I77" s="4"/>
      <x:c r="J77" s="1"/>
      <x:c r="K77" s="1"/>
      <x:c r="L77" s="1"/>
    </x:row>
    <x:row r="78" ht="22" customHeight="1">
      <x:c r="A78" s="1"/>
      <x:c r="B78" s="1"/>
      <x:c r="C78" s="1"/>
      <x:c r="D78" s="4"/>
      <x:c r="E78" s="4"/>
      <x:c r="F78" s="4"/>
      <x:c r="G78" s="4"/>
      <x:c r="H78" s="4"/>
      <x:c r="I78" s="4"/>
      <x:c r="J78" s="1"/>
      <x:c r="K78" s="1"/>
      <x:c r="L78" s="1"/>
    </x:row>
    <x:row r="79" ht="22" customHeight="1">
      <x:c r="A79" s="1"/>
      <x:c r="B79" s="1"/>
      <x:c r="C79" s="1"/>
      <x:c r="D79" s="4"/>
      <x:c r="E79" s="4"/>
      <x:c r="F79" s="4"/>
      <x:c r="G79" s="4"/>
      <x:c r="H79" s="4"/>
      <x:c r="I79" s="4"/>
      <x:c r="J79" s="1"/>
      <x:c r="K79" s="1"/>
      <x:c r="L79" s="1"/>
    </x:row>
    <x:row r="80" ht="22" customHeight="1">
      <x:c r="A80" s="1"/>
      <x:c r="B80" s="1"/>
      <x:c r="C80" s="1"/>
      <x:c r="D80" s="4"/>
      <x:c r="E80" s="4"/>
      <x:c r="F80" s="4"/>
      <x:c r="G80" s="4"/>
      <x:c r="H80" s="4"/>
      <x:c r="I80" s="4"/>
      <x:c r="J80" s="1"/>
      <x:c r="K80" s="1"/>
      <x:c r="L80" s="1"/>
    </x:row>
    <x:row r="81" ht="22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</x:row>
    <x:row r="82" ht="22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</x:row>
    <x:row r="83" ht="22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</x:row>
    <x:row r="84" ht="22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</x:row>
    <x:row r="85" ht="22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33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26" hidden="0" customWidth="1"/>
    <x:col min="11" max="11" width="26" hidden="0" customWidth="1"/>
    <x:col min="12" max="12" width="26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2" customHeight="1">
      <x:c r="A2" s="1"/>
      <x:c r="B2" s="1"/>
      <x:c r="C2" s="2" t="str">
        <x:v>RIM</x:v>
      </x:c>
      <x:c r="D2" s="2"/>
      <x:c r="E2" s="2"/>
      <x:c r="F2" s="2"/>
      <x:c r="G2" s="2"/>
      <x:c r="H2" s="2"/>
      <x:c r="I2" s="2"/>
      <x:c r="J2" s="1"/>
      <x:c r="K2" s="1"/>
      <x:c r="L2" s="1"/>
    </x:row>
    <x:row r="3" ht="22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22" customHeight="1">
      <x:c r="A4" s="1"/>
      <x:c r="B4" s="1"/>
      <x:c r="C4" s="1" t="str">
        <x:v>Case selected</x:v>
      </x:c>
      <x:c r="D4" s="3" t="str">
        <x:f>Inputs!D3</x:f>
        <x:v>Base</x:v>
      </x:c>
      <x:c r="E4" s="1"/>
      <x:c r="F4" s="1"/>
      <x:c r="G4" s="1"/>
      <x:c r="H4" s="1"/>
      <x:c r="I4" s="1"/>
      <x:c r="J4" s="1"/>
      <x:c r="K4" s="1"/>
      <x:c r="L4" s="1"/>
    </x:row>
    <x:row r="5" ht="22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 ht="22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</x:row>
    <x:row r="7" ht="27" customHeight="1">
      <x:c r="A7" s="1"/>
      <x:c r="B7" s="1"/>
      <x:c r="C7" s="18"/>
      <x:c r="D7" s="18" t="n">
        <x:v>2027</x:v>
      </x:c>
      <x:c r="E7" s="18" t="n">
        <x:v>2028</x:v>
      </x:c>
      <x:c r="F7" s="18" t="n">
        <x:v>2029</x:v>
      </x:c>
      <x:c r="G7" s="18" t="n">
        <x:v>2030</x:v>
      </x:c>
      <x:c r="H7" s="18" t="n">
        <x:v>2031</x:v>
      </x:c>
      <x:c r="I7" s="1"/>
      <x:c r="J7" s="1"/>
      <x:c r="K7" s="1"/>
      <x:c r="L7" s="1"/>
    </x:row>
    <x:row r="8" ht="22" customHeight="1">
      <x:c r="A8" s="1"/>
      <x:c r="B8" s="1"/>
      <x:c r="C8" s="1" t="str">
        <x:v>Beginning parent book</x:v>
      </x:c>
      <x:c r="D8" s="9" t="n">
        <x:f>Forecast!E23</x:f>
        <x:v>590.3052689456424</x:v>
      </x:c>
      <x:c r="E8" s="9" t="n">
        <x:f>Forecast!F23</x:f>
        <x:v>660.8103499935967</x:v>
      </x:c>
      <x:c r="F8" s="9" t="n">
        <x:f>Forecast!G23</x:f>
        <x:v>738.1002198160802</x:v>
      </x:c>
      <x:c r="G8" s="9" t="n">
        <x:f>Forecast!H23</x:f>
        <x:v>820.884003937204</x:v>
      </x:c>
      <x:c r="H8" s="9" t="n">
        <x:f>Forecast!I23</x:f>
        <x:v>908.0282262544082</x:v>
      </x:c>
      <x:c r="I8" s="4"/>
      <x:c r="J8" s="1"/>
      <x:c r="K8" s="1"/>
      <x:c r="L8" s="1"/>
    </x:row>
    <x:row r="9" ht="22" customHeight="1">
      <x:c r="A9" s="1"/>
      <x:c r="B9" s="1"/>
      <x:c r="C9" s="1" t="str">
        <x:v>Parent NI</x:v>
      </x:c>
      <x:c r="D9" s="9" t="n">
        <x:f>Forecast!E21</x:f>
        <x:v>108.46935545839108</x:v>
      </x:c>
      <x:c r="E9" s="9" t="n">
        <x:f>Forecast!F21</x:f>
        <x:v>118.90749203458992</x:v>
      </x:c>
      <x:c r="F9" s="9" t="n">
        <x:f>Forecast!G21</x:f>
        <x:v>127.35966787865203</x:v>
      </x:c>
      <x:c r="G9" s="9" t="n">
        <x:f>Forecast!H21</x:f>
        <x:v>134.06803433416013</x:v>
      </x:c>
      <x:c r="H9" s="9" t="n">
        <x:f>Forecast!I21</x:f>
        <x:v>139.85866321525023</x:v>
      </x:c>
      <x:c r="I9" s="4"/>
      <x:c r="J9" s="1"/>
      <x:c r="K9" s="1"/>
      <x:c r="L9" s="1"/>
    </x:row>
    <x:row r="10" ht="22" customHeight="1">
      <x:c r="A10" s="1"/>
      <x:c r="B10" s="1"/>
      <x:c r="C10" s="1" t="str">
        <x:v>Cost of equity</x:v>
      </x:c>
      <x:c r="D10" s="11" t="n">
        <x:f>Inputs!$D$10</x:f>
        <x:v>0.105</x:v>
      </x:c>
      <x:c r="E10" s="11" t="n">
        <x:f>Inputs!$D$10</x:f>
        <x:v>0.105</x:v>
      </x:c>
      <x:c r="F10" s="11" t="n">
        <x:f>Inputs!$D$10</x:f>
        <x:v>0.105</x:v>
      </x:c>
      <x:c r="G10" s="11" t="n">
        <x:f>Inputs!$D$10</x:f>
        <x:v>0.105</x:v>
      </x:c>
      <x:c r="H10" s="11" t="n">
        <x:f>Inputs!$D$10</x:f>
        <x:v>0.105</x:v>
      </x:c>
      <x:c r="I10" s="4"/>
      <x:c r="J10" s="1"/>
      <x:c r="K10" s="1"/>
      <x:c r="L10" s="1"/>
    </x:row>
    <x:row r="11" ht="22" customHeight="1">
      <x:c r="A11" s="1"/>
      <x:c r="B11" s="1"/>
      <x:c r="C11" s="1" t="str">
        <x:v>Equity charge</x:v>
      </x:c>
      <x:c r="D11" s="4" t="n">
        <x:f>D8*D10</x:f>
        <x:v>61.98205323929245</x:v>
      </x:c>
      <x:c r="E11" s="4" t="n">
        <x:f>E8*E10</x:f>
        <x:v>69.38508674932764</x:v>
      </x:c>
      <x:c r="F11" s="4" t="n">
        <x:f>F8*F10</x:f>
        <x:v>77.50052308068842</x:v>
      </x:c>
      <x:c r="G11" s="4" t="n">
        <x:f>G8*G10</x:f>
        <x:v>86.19282041340642</x:v>
      </x:c>
      <x:c r="H11" s="4" t="n">
        <x:f>H8*H10</x:f>
        <x:v>95.34296375671286</x:v>
      </x:c>
      <x:c r="I11" s="4"/>
      <x:c r="J11" s="1"/>
      <x:c r="K11" s="1"/>
      <x:c r="L11" s="1"/>
    </x:row>
    <x:row r="12" ht="22" customHeight="1">
      <x:c r="A12" s="1"/>
      <x:c r="B12" s="1"/>
      <x:c r="C12" s="1" t="str">
        <x:v>Residual income</x:v>
      </x:c>
      <x:c r="D12" s="4" t="n">
        <x:f>D9-D11</x:f>
        <x:v>46.48730221909863</x:v>
      </x:c>
      <x:c r="E12" s="4" t="n">
        <x:f>E9-E11</x:f>
        <x:v>49.52240528526228</x:v>
      </x:c>
      <x:c r="F12" s="4" t="n">
        <x:f>F9-F11</x:f>
        <x:v>49.85914479796361</x:v>
      </x:c>
      <x:c r="G12" s="4" t="n">
        <x:f>G9-G11</x:f>
        <x:v>47.87521392075371</x:v>
      </x:c>
      <x:c r="H12" s="4" t="n">
        <x:f>H9-H11</x:f>
        <x:v>44.51569945853737</x:v>
      </x:c>
      <x:c r="I12" s="4"/>
      <x:c r="J12" s="1"/>
      <x:c r="K12" s="1"/>
      <x:c r="L12" s="1"/>
    </x:row>
    <x:row r="13" ht="22" customHeight="1">
      <x:c r="A13" s="1"/>
      <x:c r="B13" s="1"/>
      <x:c r="C13" s="1" t="str">
        <x:v>Years</x:v>
      </x:c>
      <x:c r="D13" s="4" t="n">
        <x:v>1</x:v>
      </x:c>
      <x:c r="E13" s="4" t="n">
        <x:v>2</x:v>
      </x:c>
      <x:c r="F13" s="4" t="n">
        <x:v>3</x:v>
      </x:c>
      <x:c r="G13" s="4" t="n">
        <x:v>4</x:v>
      </x:c>
      <x:c r="H13" s="4" t="n">
        <x:v>5</x:v>
      </x:c>
      <x:c r="I13" s="4"/>
      <x:c r="J13" s="1"/>
      <x:c r="K13" s="1"/>
      <x:c r="L13" s="1"/>
    </x:row>
    <x:row r="14" ht="22" customHeight="1">
      <x:c r="A14" s="1"/>
      <x:c r="B14" s="1"/>
      <x:c r="C14" s="1" t="str">
        <x:v>PV residual income</x:v>
      </x:c>
      <x:c r="D14" s="4" t="n">
        <x:f>D12/(1+D10)^D13</x:f>
        <x:v>42.069956759365276</x:v>
      </x:c>
      <x:c r="E14" s="4" t="n">
        <x:f>E12/(1+E10)^E13</x:f>
        <x:v>40.55806006041013</x:v>
      </x:c>
      <x:c r="F14" s="4" t="n">
        <x:f>F12/(1+F10)^F13</x:f>
        <x:v>36.95370529449183</x:v>
      </x:c>
      <x:c r="G14" s="4" t="n">
        <x:f>G12/(1+G10)^G13</x:f>
        <x:v>32.111575606649666</x:v>
      </x:c>
      <x:c r="H14" s="4" t="n">
        <x:f>H12/(1+H10)^H13</x:f>
        <x:v>27.02102452040125</x:v>
      </x:c>
      <x:c r="I14" s="4"/>
      <x:c r="J14" s="1"/>
      <x:c r="K14" s="1"/>
      <x:c r="L14" s="1"/>
    </x:row>
    <x:row r="15" ht="22" customHeight="1">
      <x:c r="A15" s="1"/>
      <x:c r="B15" s="1"/>
      <x:c r="C15" s="1" t="str">
        <x:v>Ending parent book</x:v>
      </x:c>
      <x:c r="D15" s="9" t="n">
        <x:f>Forecast!E25</x:f>
        <x:v>660.8103499935967</x:v>
      </x:c>
      <x:c r="E15" s="9" t="n">
        <x:f>Forecast!F25</x:f>
        <x:v>738.1002198160802</x:v>
      </x:c>
      <x:c r="F15" s="9" t="n">
        <x:f>Forecast!G25</x:f>
        <x:v>820.884003937204</x:v>
      </x:c>
      <x:c r="G15" s="9" t="n">
        <x:f>Forecast!H25</x:f>
        <x:v>908.0282262544082</x:v>
      </x:c>
      <x:c r="H15" s="9" t="n">
        <x:f>Forecast!I25</x:f>
        <x:v>998.9363573443209</x:v>
      </x:c>
      <x:c r="I15" s="4"/>
      <x:c r="J15" s="1"/>
      <x:c r="K15" s="1"/>
      <x:c r="L15" s="1"/>
    </x:row>
    <x:row r="16" ht="22" customHeight="1">
      <x:c r="A16" s="1"/>
      <x:c r="B16" s="1"/>
      <x:c r="C16" s="1"/>
      <x:c r="D16" s="4"/>
      <x:c r="E16" s="4"/>
      <x:c r="F16" s="4"/>
      <x:c r="G16" s="4"/>
      <x:c r="H16" s="4"/>
      <x:c r="I16" s="4"/>
      <x:c r="J16" s="1"/>
      <x:c r="K16" s="1"/>
      <x:c r="L16" s="1"/>
    </x:row>
    <x:row r="17" ht="22" customHeight="1">
      <x:c r="A17" s="1"/>
      <x:c r="B17" s="1"/>
      <x:c r="C17" s="1"/>
      <x:c r="D17" s="4"/>
      <x:c r="E17" s="4"/>
      <x:c r="F17" s="4"/>
      <x:c r="G17" s="4"/>
      <x:c r="H17" s="4"/>
      <x:c r="I17" s="4"/>
      <x:c r="J17" s="1"/>
      <x:c r="K17" s="1"/>
      <x:c r="L17" s="1"/>
    </x:row>
    <x:row r="18" ht="22" customHeight="1">
      <x:c r="A18" s="1"/>
      <x:c r="B18" s="1"/>
      <x:c r="C18" s="1" t="str">
        <x:v>2026E parent book</x:v>
      </x:c>
      <x:c r="D18" s="9" t="n">
        <x:f>'Cash Equity Bridge'!D22</x:f>
        <x:v>590.3052689456424</x:v>
      </x:c>
      <x:c r="E18" s="4"/>
      <x:c r="F18" s="4"/>
      <x:c r="G18" s="4"/>
      <x:c r="H18" s="4"/>
      <x:c r="I18" s="4"/>
      <x:c r="J18" s="1"/>
      <x:c r="K18" s="1"/>
      <x:c r="L18" s="1"/>
    </x:row>
    <x:row r="19" ht="22" customHeight="1">
      <x:c r="A19" s="1"/>
      <x:c r="B19" s="1"/>
      <x:c r="C19" s="1" t="str">
        <x:v>PV explicit RI</x:v>
      </x:c>
      <x:c r="D19" s="4" t="n">
        <x:f>SUM(D14:H14)</x:f>
        <x:v>178.71432224131817</x:v>
      </x:c>
      <x:c r="E19" s="4"/>
      <x:c r="F19" s="4"/>
      <x:c r="G19" s="4"/>
      <x:c r="H19" s="4"/>
      <x:c r="I19" s="4"/>
      <x:c r="J19" s="1"/>
      <x:c r="K19" s="1"/>
      <x:c r="L19" s="1"/>
    </x:row>
    <x:row r="20" ht="22" customHeight="1">
      <x:c r="A20" s="1"/>
      <x:c r="B20" s="1"/>
      <x:c r="C20" s="1" t="str">
        <x:v>2032 residual income</x:v>
      </x:c>
      <x:c r="D20" s="9" t="n">
        <x:f>(Inputs!$D$13-Inputs!$D$10)*Forecast!I25</x:f>
        <x:v>24.97340893360803</x:v>
      </x:c>
      <x:c r="E20" s="4"/>
      <x:c r="F20" s="4"/>
      <x:c r="G20" s="4"/>
      <x:c r="H20" s="4"/>
      <x:c r="I20" s="4"/>
      <x:c r="J20" s="1"/>
      <x:c r="K20" s="1"/>
      <x:c r="L20" s="1"/>
    </x:row>
    <x:row r="21" ht="22" customHeight="1">
      <x:c r="A21" s="1"/>
      <x:c r="B21" s="1"/>
      <x:c r="C21" s="1" t="str">
        <x:v>PV terminal RI</x:v>
      </x:c>
      <x:c r="D21" s="9" t="n">
        <x:f>D20/(Inputs!$D$10-Inputs!$D$11)/(1+Inputs!$D$10)^5</x:f>
        <x:v>178.33948693078003</x:v>
      </x:c>
      <x:c r="E21" s="4"/>
      <x:c r="F21" s="4"/>
      <x:c r="G21" s="4"/>
      <x:c r="H21" s="4"/>
      <x:c r="I21" s="4"/>
      <x:c r="J21" s="1"/>
      <x:c r="K21" s="1"/>
      <x:c r="L21" s="1"/>
    </x:row>
    <x:row r="22" ht="22" customHeight="1">
      <x:c r="A22" s="1"/>
      <x:c r="B22" s="1"/>
      <x:c r="C22" s="1" t="str">
        <x:v>Parent equity value</x:v>
      </x:c>
      <x:c r="D22" s="4" t="n">
        <x:f>D18+D19+D21</x:f>
        <x:v>947.3590781177406</x:v>
      </x:c>
      <x:c r="E22" s="4"/>
      <x:c r="F22" s="4"/>
      <x:c r="G22" s="4"/>
      <x:c r="H22" s="4"/>
      <x:c r="I22" s="4"/>
      <x:c r="J22" s="1"/>
      <x:c r="K22" s="1"/>
      <x:c r="L22" s="1"/>
    </x:row>
    <x:row r="23" ht="22" customHeight="1">
      <x:c r="A23" s="1"/>
      <x:c r="B23" s="1"/>
      <x:c r="C23" s="1" t="str">
        <x:v>Shares million</x:v>
      </x:c>
      <x:c r="D23" s="9" t="n">
        <x:f>'Cash Equity Bridge'!D23</x:f>
        <x:v>11.179416</x:v>
      </x:c>
      <x:c r="E23" s="4"/>
      <x:c r="F23" s="4"/>
      <x:c r="G23" s="4"/>
      <x:c r="H23" s="4"/>
      <x:c r="I23" s="4"/>
      <x:c r="J23" s="1"/>
      <x:c r="K23" s="1"/>
      <x:c r="L23" s="1"/>
    </x:row>
    <x:row r="24" ht="22" customHeight="1">
      <x:c r="A24" s="1"/>
      <x:c r="B24" s="1"/>
      <x:c r="C24" s="1" t="str">
        <x:v>RIM KRW/share</x:v>
      </x:c>
      <x:c r="D24" s="4" t="n">
        <x:f>D22*1000/D23</x:f>
        <x:v>84741.37451524666</x:v>
      </x:c>
      <x:c r="E24" s="4"/>
      <x:c r="F24" s="4"/>
      <x:c r="G24" s="4"/>
      <x:c r="H24" s="4"/>
      <x:c r="I24" s="4"/>
      <x:c r="J24" s="1"/>
      <x:c r="K24" s="1"/>
      <x:c r="L24" s="1"/>
    </x:row>
    <x:row r="25" ht="22" customHeight="1">
      <x:c r="A25" s="1"/>
      <x:c r="B25" s="1"/>
      <x:c r="C25" s="1" t="str">
        <x:v>DDM identity difference</x:v>
      </x:c>
      <x:c r="D25" s="10" t="n">
        <x:f>D22-(Forecast!E24/(1+Inputs!$D$10)+Forecast!F24/(1+Inputs!$D$10)^2+Forecast!G24/(1+Inputs!$D$10)^3+Forecast!H24/(1+Inputs!$D$10)^4+Forecast!I24/(1+Inputs!$D$10)^5+(Forecast!I25+D20/(Inputs!$D$10-Inputs!$D$11))/(1+Inputs!$D$10)^5)</x:f>
        <x:v>-1.1368683772161603e-13</x:v>
      </x:c>
      <x:c r="E25" s="4"/>
      <x:c r="F25" s="4"/>
      <x:c r="G25" s="4"/>
      <x:c r="H25" s="4"/>
      <x:c r="I25" s="4"/>
      <x:c r="J25" s="1"/>
      <x:c r="K25" s="1"/>
      <x:c r="L25" s="1"/>
    </x:row>
    <x:row r="26" ht="22" customHeight="1">
      <x:c r="A26" s="1"/>
      <x:c r="B26" s="1"/>
      <x:c r="C26" s="1"/>
      <x:c r="D26" s="4"/>
      <x:c r="E26" s="4"/>
      <x:c r="F26" s="4"/>
      <x:c r="G26" s="4"/>
      <x:c r="H26" s="4"/>
      <x:c r="I26" s="4"/>
      <x:c r="J26" s="1"/>
      <x:c r="K26" s="1"/>
      <x:c r="L26" s="1"/>
    </x:row>
    <x:row r="27" ht="22" customHeight="1">
      <x:c r="A27" s="1"/>
      <x:c r="B27" s="1"/>
      <x:c r="C27" s="1"/>
      <x:c r="D27" s="4"/>
      <x:c r="E27" s="4"/>
      <x:c r="F27" s="4"/>
      <x:c r="G27" s="4"/>
      <x:c r="H27" s="4"/>
      <x:c r="I27" s="4"/>
      <x:c r="J27" s="1"/>
      <x:c r="K27" s="1"/>
      <x:c r="L27" s="1"/>
    </x:row>
    <x:row r="28" ht="22" customHeight="1">
      <x:c r="A28" s="1"/>
      <x:c r="B28" s="1"/>
      <x:c r="C28" s="1"/>
      <x:c r="D28" s="4"/>
      <x:c r="E28" s="4"/>
      <x:c r="F28" s="4"/>
      <x:c r="G28" s="4"/>
      <x:c r="H28" s="4"/>
      <x:c r="I28" s="4"/>
      <x:c r="J28" s="1"/>
      <x:c r="K28" s="1"/>
      <x:c r="L28" s="1"/>
    </x:row>
    <x:row r="29" ht="22" customHeight="1">
      <x:c r="A29" s="1"/>
      <x:c r="B29" s="1"/>
      <x:c r="C29" s="1"/>
      <x:c r="D29" s="4"/>
      <x:c r="E29" s="4"/>
      <x:c r="F29" s="4"/>
      <x:c r="G29" s="4"/>
      <x:c r="H29" s="4"/>
      <x:c r="I29" s="4"/>
      <x:c r="J29" s="1"/>
      <x:c r="K29" s="1"/>
      <x:c r="L29" s="1"/>
    </x:row>
    <x:row r="30" ht="22" customHeight="1">
      <x:c r="A30" s="1"/>
      <x:c r="B30" s="1"/>
      <x:c r="C30" s="1"/>
      <x:c r="D30" s="4"/>
      <x:c r="E30" s="4"/>
      <x:c r="F30" s="4"/>
      <x:c r="G30" s="4"/>
      <x:c r="H30" s="4"/>
      <x:c r="I30" s="4"/>
      <x:c r="J30" s="1"/>
      <x:c r="K30" s="1"/>
      <x:c r="L30" s="1"/>
    </x:row>
    <x:row r="31" ht="22" customHeight="1">
      <x:c r="A31" s="1"/>
      <x:c r="B31" s="1"/>
      <x:c r="C31" s="1"/>
      <x:c r="D31" s="4"/>
      <x:c r="E31" s="4"/>
      <x:c r="F31" s="4"/>
      <x:c r="G31" s="4"/>
      <x:c r="H31" s="4"/>
      <x:c r="I31" s="4"/>
      <x:c r="J31" s="1"/>
      <x:c r="K31" s="1"/>
      <x:c r="L31" s="1"/>
    </x:row>
    <x:row r="32" ht="22" customHeight="1">
      <x:c r="A32" s="1"/>
      <x:c r="B32" s="1"/>
      <x:c r="C32" s="1"/>
      <x:c r="D32" s="4"/>
      <x:c r="E32" s="4"/>
      <x:c r="F32" s="4"/>
      <x:c r="G32" s="4"/>
      <x:c r="H32" s="4"/>
      <x:c r="I32" s="4"/>
      <x:c r="J32" s="1"/>
      <x:c r="K32" s="1"/>
      <x:c r="L32" s="1"/>
    </x:row>
    <x:row r="33" ht="22" customHeight="1">
      <x:c r="A33" s="1"/>
      <x:c r="B33" s="1"/>
      <x:c r="C33" s="1"/>
      <x:c r="D33" s="4"/>
      <x:c r="E33" s="4"/>
      <x:c r="F33" s="4"/>
      <x:c r="G33" s="4"/>
      <x:c r="H33" s="4"/>
      <x:c r="I33" s="4"/>
      <x:c r="J33" s="1"/>
      <x:c r="K33" s="1"/>
      <x:c r="L33" s="1"/>
    </x:row>
    <x:row r="34" ht="22" customHeight="1">
      <x:c r="A34" s="1"/>
      <x:c r="B34" s="1"/>
      <x:c r="C34" s="1"/>
      <x:c r="D34" s="4"/>
      <x:c r="E34" s="4"/>
      <x:c r="F34" s="4"/>
      <x:c r="G34" s="4"/>
      <x:c r="H34" s="4"/>
      <x:c r="I34" s="4"/>
      <x:c r="J34" s="1"/>
      <x:c r="K34" s="1"/>
      <x:c r="L34" s="1"/>
    </x:row>
    <x:row r="35" ht="22" customHeight="1">
      <x:c r="A35" s="1"/>
      <x:c r="B35" s="1"/>
      <x:c r="C35" s="1"/>
      <x:c r="D35" s="4"/>
      <x:c r="E35" s="4"/>
      <x:c r="F35" s="4"/>
      <x:c r="G35" s="4"/>
      <x:c r="H35" s="4"/>
      <x:c r="I35" s="4"/>
      <x:c r="J35" s="1"/>
      <x:c r="K35" s="1"/>
      <x:c r="L35" s="1"/>
    </x:row>
    <x:row r="36" ht="22" customHeight="1">
      <x:c r="A36" s="1"/>
      <x:c r="B36" s="1"/>
      <x:c r="C36" s="1"/>
      <x:c r="D36" s="4"/>
      <x:c r="E36" s="4"/>
      <x:c r="F36" s="4"/>
      <x:c r="G36" s="4"/>
      <x:c r="H36" s="4"/>
      <x:c r="I36" s="4"/>
      <x:c r="J36" s="1"/>
      <x:c r="K36" s="1"/>
      <x:c r="L36" s="1"/>
    </x:row>
    <x:row r="37" ht="22" customHeight="1">
      <x:c r="A37" s="1"/>
      <x:c r="B37" s="1"/>
      <x:c r="C37" s="1"/>
      <x:c r="D37" s="4"/>
      <x:c r="E37" s="4"/>
      <x:c r="F37" s="4"/>
      <x:c r="G37" s="4"/>
      <x:c r="H37" s="4"/>
      <x:c r="I37" s="4"/>
      <x:c r="J37" s="1"/>
      <x:c r="K37" s="1"/>
      <x:c r="L37" s="1"/>
    </x:row>
    <x:row r="38" ht="22" customHeight="1">
      <x:c r="A38" s="1"/>
      <x:c r="B38" s="1"/>
      <x:c r="C38" s="1"/>
      <x:c r="D38" s="4"/>
      <x:c r="E38" s="4"/>
      <x:c r="F38" s="4"/>
      <x:c r="G38" s="4"/>
      <x:c r="H38" s="4"/>
      <x:c r="I38" s="4"/>
      <x:c r="J38" s="1"/>
      <x:c r="K38" s="1"/>
      <x:c r="L38" s="1"/>
    </x:row>
    <x:row r="39" ht="22" customHeight="1">
      <x:c r="A39" s="1"/>
      <x:c r="B39" s="1"/>
      <x:c r="C39" s="1"/>
      <x:c r="D39" s="4"/>
      <x:c r="E39" s="4"/>
      <x:c r="F39" s="4"/>
      <x:c r="G39" s="4"/>
      <x:c r="H39" s="4"/>
      <x:c r="I39" s="4"/>
      <x:c r="J39" s="1"/>
      <x:c r="K39" s="1"/>
      <x:c r="L39" s="1"/>
    </x:row>
    <x:row r="40" ht="22" customHeight="1">
      <x:c r="A40" s="1"/>
      <x:c r="B40" s="1"/>
      <x:c r="C40" s="1"/>
      <x:c r="D40" s="4"/>
      <x:c r="E40" s="4"/>
      <x:c r="F40" s="4"/>
      <x:c r="G40" s="4"/>
      <x:c r="H40" s="4"/>
      <x:c r="I40" s="4"/>
      <x:c r="J40" s="1"/>
      <x:c r="K40" s="1"/>
      <x:c r="L40" s="1"/>
    </x:row>
    <x:row r="41" ht="22" customHeight="1">
      <x:c r="A41" s="1"/>
      <x:c r="B41" s="1"/>
      <x:c r="C41" s="1"/>
      <x:c r="D41" s="4"/>
      <x:c r="E41" s="4"/>
      <x:c r="F41" s="4"/>
      <x:c r="G41" s="4"/>
      <x:c r="H41" s="4"/>
      <x:c r="I41" s="4"/>
      <x:c r="J41" s="1"/>
      <x:c r="K41" s="1"/>
      <x:c r="L41" s="1"/>
    </x:row>
    <x:row r="42" ht="22" customHeight="1">
      <x:c r="A42" s="1"/>
      <x:c r="B42" s="1"/>
      <x:c r="C42" s="1"/>
      <x:c r="D42" s="4"/>
      <x:c r="E42" s="4"/>
      <x:c r="F42" s="4"/>
      <x:c r="G42" s="4"/>
      <x:c r="H42" s="4"/>
      <x:c r="I42" s="4"/>
      <x:c r="J42" s="1"/>
      <x:c r="K42" s="1"/>
      <x:c r="L42" s="1"/>
    </x:row>
    <x:row r="43" ht="22" customHeight="1">
      <x:c r="A43" s="1"/>
      <x:c r="B43" s="1"/>
      <x:c r="C43" s="1"/>
      <x:c r="D43" s="4"/>
      <x:c r="E43" s="4"/>
      <x:c r="F43" s="4"/>
      <x:c r="G43" s="4"/>
      <x:c r="H43" s="4"/>
      <x:c r="I43" s="4"/>
      <x:c r="J43" s="1"/>
      <x:c r="K43" s="1"/>
      <x:c r="L43" s="1"/>
    </x:row>
    <x:row r="44" ht="22" customHeight="1">
      <x:c r="A44" s="1"/>
      <x:c r="B44" s="1"/>
      <x:c r="C44" s="1"/>
      <x:c r="D44" s="4"/>
      <x:c r="E44" s="4"/>
      <x:c r="F44" s="4"/>
      <x:c r="G44" s="4"/>
      <x:c r="H44" s="4"/>
      <x:c r="I44" s="4"/>
      <x:c r="J44" s="1"/>
      <x:c r="K44" s="1"/>
      <x:c r="L44" s="1"/>
    </x:row>
    <x:row r="45" ht="22" customHeight="1">
      <x:c r="A45" s="1"/>
      <x:c r="B45" s="1"/>
      <x:c r="C45" s="1"/>
      <x:c r="D45" s="4"/>
      <x:c r="E45" s="4"/>
      <x:c r="F45" s="4"/>
      <x:c r="G45" s="4"/>
      <x:c r="H45" s="4"/>
      <x:c r="I45" s="4"/>
      <x:c r="J45" s="1"/>
      <x:c r="K45" s="1"/>
      <x:c r="L45" s="1"/>
    </x:row>
    <x:row r="46" ht="22" customHeight="1">
      <x:c r="A46" s="1"/>
      <x:c r="B46" s="1"/>
      <x:c r="C46" s="1"/>
      <x:c r="D46" s="4"/>
      <x:c r="E46" s="4"/>
      <x:c r="F46" s="4"/>
      <x:c r="G46" s="4"/>
      <x:c r="H46" s="4"/>
      <x:c r="I46" s="4"/>
      <x:c r="J46" s="1"/>
      <x:c r="K46" s="1"/>
      <x:c r="L46" s="1"/>
    </x:row>
    <x:row r="47" ht="22" customHeight="1">
      <x:c r="A47" s="1"/>
      <x:c r="B47" s="1"/>
      <x:c r="C47" s="1"/>
      <x:c r="D47" s="4"/>
      <x:c r="E47" s="4"/>
      <x:c r="F47" s="4"/>
      <x:c r="G47" s="4"/>
      <x:c r="H47" s="4"/>
      <x:c r="I47" s="4"/>
      <x:c r="J47" s="1"/>
      <x:c r="K47" s="1"/>
      <x:c r="L47" s="1"/>
    </x:row>
    <x:row r="48" ht="22" customHeight="1">
      <x:c r="A48" s="1"/>
      <x:c r="B48" s="1"/>
      <x:c r="C48" s="1"/>
      <x:c r="D48" s="4"/>
      <x:c r="E48" s="4"/>
      <x:c r="F48" s="4"/>
      <x:c r="G48" s="4"/>
      <x:c r="H48" s="4"/>
      <x:c r="I48" s="4"/>
      <x:c r="J48" s="1"/>
      <x:c r="K48" s="1"/>
      <x:c r="L48" s="1"/>
    </x:row>
    <x:row r="49" ht="22" customHeight="1">
      <x:c r="A49" s="1"/>
      <x:c r="B49" s="1"/>
      <x:c r="C49" s="1"/>
      <x:c r="D49" s="4"/>
      <x:c r="E49" s="4"/>
      <x:c r="F49" s="4"/>
      <x:c r="G49" s="4"/>
      <x:c r="H49" s="4"/>
      <x:c r="I49" s="4"/>
      <x:c r="J49" s="1"/>
      <x:c r="K49" s="1"/>
      <x:c r="L49" s="1"/>
    </x:row>
    <x:row r="50" ht="22" customHeight="1">
      <x:c r="A50" s="1"/>
      <x:c r="B50" s="1"/>
      <x:c r="C50" s="1"/>
      <x:c r="D50" s="4"/>
      <x:c r="E50" s="4"/>
      <x:c r="F50" s="4"/>
      <x:c r="G50" s="4"/>
      <x:c r="H50" s="4"/>
      <x:c r="I50" s="4"/>
      <x:c r="J50" s="1"/>
      <x:c r="K50" s="1"/>
      <x:c r="L50" s="1"/>
    </x:row>
    <x:row r="51" ht="22" customHeight="1">
      <x:c r="A51" s="1"/>
      <x:c r="B51" s="1"/>
      <x:c r="C51" s="1"/>
      <x:c r="D51" s="4"/>
      <x:c r="E51" s="4"/>
      <x:c r="F51" s="4"/>
      <x:c r="G51" s="4"/>
      <x:c r="H51" s="4"/>
      <x:c r="I51" s="4"/>
      <x:c r="J51" s="1"/>
      <x:c r="K51" s="1"/>
      <x:c r="L51" s="1"/>
    </x:row>
    <x:row r="52" ht="22" customHeight="1">
      <x:c r="A52" s="1"/>
      <x:c r="B52" s="1"/>
      <x:c r="C52" s="1"/>
      <x:c r="D52" s="4"/>
      <x:c r="E52" s="4"/>
      <x:c r="F52" s="4"/>
      <x:c r="G52" s="4"/>
      <x:c r="H52" s="4"/>
      <x:c r="I52" s="4"/>
      <x:c r="J52" s="1"/>
      <x:c r="K52" s="1"/>
      <x:c r="L52" s="1"/>
    </x:row>
    <x:row r="53" ht="22" customHeight="1">
      <x:c r="A53" s="1"/>
      <x:c r="B53" s="1"/>
      <x:c r="C53" s="1"/>
      <x:c r="D53" s="4"/>
      <x:c r="E53" s="4"/>
      <x:c r="F53" s="4"/>
      <x:c r="G53" s="4"/>
      <x:c r="H53" s="4"/>
      <x:c r="I53" s="4"/>
      <x:c r="J53" s="1"/>
      <x:c r="K53" s="1"/>
      <x:c r="L53" s="1"/>
    </x:row>
    <x:row r="54" ht="22" customHeight="1">
      <x:c r="A54" s="1"/>
      <x:c r="B54" s="1"/>
      <x:c r="C54" s="1"/>
      <x:c r="D54" s="4"/>
      <x:c r="E54" s="4"/>
      <x:c r="F54" s="4"/>
      <x:c r="G54" s="4"/>
      <x:c r="H54" s="4"/>
      <x:c r="I54" s="4"/>
      <x:c r="J54" s="1"/>
      <x:c r="K54" s="1"/>
      <x:c r="L54" s="1"/>
    </x:row>
    <x:row r="55" ht="22" customHeight="1">
      <x:c r="A55" s="1"/>
      <x:c r="B55" s="1"/>
      <x:c r="C55" s="1"/>
      <x:c r="D55" s="4"/>
      <x:c r="E55" s="4"/>
      <x:c r="F55" s="4"/>
      <x:c r="G55" s="4"/>
      <x:c r="H55" s="4"/>
      <x:c r="I55" s="4"/>
      <x:c r="J55" s="1"/>
      <x:c r="K55" s="1"/>
      <x:c r="L55" s="1"/>
    </x:row>
    <x:row r="56" ht="22" customHeight="1">
      <x:c r="A56" s="1"/>
      <x:c r="B56" s="1"/>
      <x:c r="C56" s="1"/>
      <x:c r="D56" s="4"/>
      <x:c r="E56" s="4"/>
      <x:c r="F56" s="4"/>
      <x:c r="G56" s="4"/>
      <x:c r="H56" s="4"/>
      <x:c r="I56" s="4"/>
      <x:c r="J56" s="1"/>
      <x:c r="K56" s="1"/>
      <x:c r="L56" s="1"/>
    </x:row>
    <x:row r="57" ht="22" customHeight="1">
      <x:c r="A57" s="1"/>
      <x:c r="B57" s="1"/>
      <x:c r="C57" s="1"/>
      <x:c r="D57" s="4"/>
      <x:c r="E57" s="4"/>
      <x:c r="F57" s="4"/>
      <x:c r="G57" s="4"/>
      <x:c r="H57" s="4"/>
      <x:c r="I57" s="4"/>
      <x:c r="J57" s="1"/>
      <x:c r="K57" s="1"/>
      <x:c r="L57" s="1"/>
    </x:row>
    <x:row r="58" ht="22" customHeight="1">
      <x:c r="A58" s="1"/>
      <x:c r="B58" s="1"/>
      <x:c r="C58" s="1"/>
      <x:c r="D58" s="4"/>
      <x:c r="E58" s="4"/>
      <x:c r="F58" s="4"/>
      <x:c r="G58" s="4"/>
      <x:c r="H58" s="4"/>
      <x:c r="I58" s="4"/>
      <x:c r="J58" s="1"/>
      <x:c r="K58" s="1"/>
      <x:c r="L58" s="1"/>
    </x:row>
    <x:row r="59" ht="22" customHeight="1">
      <x:c r="A59" s="1"/>
      <x:c r="B59" s="1"/>
      <x:c r="C59" s="1"/>
      <x:c r="D59" s="4"/>
      <x:c r="E59" s="4"/>
      <x:c r="F59" s="4"/>
      <x:c r="G59" s="4"/>
      <x:c r="H59" s="4"/>
      <x:c r="I59" s="4"/>
      <x:c r="J59" s="1"/>
      <x:c r="K59" s="1"/>
      <x:c r="L59" s="1"/>
    </x:row>
    <x:row r="60" ht="22" customHeight="1">
      <x:c r="A60" s="1"/>
      <x:c r="B60" s="1"/>
      <x:c r="C60" s="1"/>
      <x:c r="D60" s="4"/>
      <x:c r="E60" s="4"/>
      <x:c r="F60" s="4"/>
      <x:c r="G60" s="4"/>
      <x:c r="H60" s="4"/>
      <x:c r="I60" s="4"/>
      <x:c r="J60" s="1"/>
      <x:c r="K60" s="1"/>
      <x:c r="L60" s="1"/>
    </x:row>
    <x:row r="61" ht="22" customHeight="1">
      <x:c r="A61" s="1"/>
      <x:c r="B61" s="1"/>
      <x:c r="C61" s="1"/>
      <x:c r="D61" s="4"/>
      <x:c r="E61" s="4"/>
      <x:c r="F61" s="4"/>
      <x:c r="G61" s="4"/>
      <x:c r="H61" s="4"/>
      <x:c r="I61" s="4"/>
      <x:c r="J61" s="1"/>
      <x:c r="K61" s="1"/>
      <x:c r="L61" s="1"/>
    </x:row>
    <x:row r="62" ht="22" customHeight="1">
      <x:c r="A62" s="1"/>
      <x:c r="B62" s="1"/>
      <x:c r="C62" s="1"/>
      <x:c r="D62" s="4"/>
      <x:c r="E62" s="4"/>
      <x:c r="F62" s="4"/>
      <x:c r="G62" s="4"/>
      <x:c r="H62" s="4"/>
      <x:c r="I62" s="4"/>
      <x:c r="J62" s="1"/>
      <x:c r="K62" s="1"/>
      <x:c r="L62" s="1"/>
    </x:row>
    <x:row r="63" ht="22" customHeight="1">
      <x:c r="A63" s="1"/>
      <x:c r="B63" s="1"/>
      <x:c r="C63" s="1"/>
      <x:c r="D63" s="4"/>
      <x:c r="E63" s="4"/>
      <x:c r="F63" s="4"/>
      <x:c r="G63" s="4"/>
      <x:c r="H63" s="4"/>
      <x:c r="I63" s="4"/>
      <x:c r="J63" s="1"/>
      <x:c r="K63" s="1"/>
      <x:c r="L63" s="1"/>
    </x:row>
    <x:row r="64" ht="22" customHeight="1">
      <x:c r="A64" s="1"/>
      <x:c r="B64" s="1"/>
      <x:c r="C64" s="1"/>
      <x:c r="D64" s="4"/>
      <x:c r="E64" s="4"/>
      <x:c r="F64" s="4"/>
      <x:c r="G64" s="4"/>
      <x:c r="H64" s="4"/>
      <x:c r="I64" s="4"/>
      <x:c r="J64" s="1"/>
      <x:c r="K64" s="1"/>
      <x:c r="L64" s="1"/>
    </x:row>
    <x:row r="65" ht="22" customHeight="1">
      <x:c r="A65" s="1"/>
      <x:c r="B65" s="1"/>
      <x:c r="C65" s="1"/>
      <x:c r="D65" s="4"/>
      <x:c r="E65" s="4"/>
      <x:c r="F65" s="4"/>
      <x:c r="G65" s="4"/>
      <x:c r="H65" s="4"/>
      <x:c r="I65" s="4"/>
      <x:c r="J65" s="1"/>
      <x:c r="K65" s="1"/>
      <x:c r="L65" s="1"/>
    </x:row>
    <x:row r="66" ht="22" customHeight="1">
      <x:c r="A66" s="1"/>
      <x:c r="B66" s="1"/>
      <x:c r="C66" s="1"/>
      <x:c r="D66" s="4"/>
      <x:c r="E66" s="4"/>
      <x:c r="F66" s="4"/>
      <x:c r="G66" s="4"/>
      <x:c r="H66" s="4"/>
      <x:c r="I66" s="4"/>
      <x:c r="J66" s="1"/>
      <x:c r="K66" s="1"/>
      <x:c r="L66" s="1"/>
    </x:row>
    <x:row r="67" ht="22" customHeight="1">
      <x:c r="A67" s="1"/>
      <x:c r="B67" s="1"/>
      <x:c r="C67" s="1"/>
      <x:c r="D67" s="4"/>
      <x:c r="E67" s="4"/>
      <x:c r="F67" s="4"/>
      <x:c r="G67" s="4"/>
      <x:c r="H67" s="4"/>
      <x:c r="I67" s="4"/>
      <x:c r="J67" s="1"/>
      <x:c r="K67" s="1"/>
      <x:c r="L67" s="1"/>
    </x:row>
    <x:row r="68" ht="22" customHeight="1">
      <x:c r="A68" s="1"/>
      <x:c r="B68" s="1"/>
      <x:c r="C68" s="1"/>
      <x:c r="D68" s="4"/>
      <x:c r="E68" s="4"/>
      <x:c r="F68" s="4"/>
      <x:c r="G68" s="4"/>
      <x:c r="H68" s="4"/>
      <x:c r="I68" s="4"/>
      <x:c r="J68" s="1"/>
      <x:c r="K68" s="1"/>
      <x:c r="L68" s="1"/>
    </x:row>
    <x:row r="69" ht="22" customHeight="1">
      <x:c r="A69" s="1"/>
      <x:c r="B69" s="1"/>
      <x:c r="C69" s="1"/>
      <x:c r="D69" s="4"/>
      <x:c r="E69" s="4"/>
      <x:c r="F69" s="4"/>
      <x:c r="G69" s="4"/>
      <x:c r="H69" s="4"/>
      <x:c r="I69" s="4"/>
      <x:c r="J69" s="1"/>
      <x:c r="K69" s="1"/>
      <x:c r="L69" s="1"/>
    </x:row>
    <x:row r="70" ht="22" customHeight="1">
      <x:c r="A70" s="1"/>
      <x:c r="B70" s="1"/>
      <x:c r="C70" s="1"/>
      <x:c r="D70" s="4"/>
      <x:c r="E70" s="4"/>
      <x:c r="F70" s="4"/>
      <x:c r="G70" s="4"/>
      <x:c r="H70" s="4"/>
      <x:c r="I70" s="4"/>
      <x:c r="J70" s="1"/>
      <x:c r="K70" s="1"/>
      <x:c r="L70" s="1"/>
    </x:row>
    <x:row r="71" ht="22" customHeight="1">
      <x:c r="A71" s="1"/>
      <x:c r="B71" s="1"/>
      <x:c r="C71" s="1"/>
      <x:c r="D71" s="4"/>
      <x:c r="E71" s="4"/>
      <x:c r="F71" s="4"/>
      <x:c r="G71" s="4"/>
      <x:c r="H71" s="4"/>
      <x:c r="I71" s="4"/>
      <x:c r="J71" s="1"/>
      <x:c r="K71" s="1"/>
      <x:c r="L71" s="1"/>
    </x:row>
    <x:row r="72" ht="22" customHeight="1">
      <x:c r="A72" s="1"/>
      <x:c r="B72" s="1"/>
      <x:c r="C72" s="1"/>
      <x:c r="D72" s="4"/>
      <x:c r="E72" s="4"/>
      <x:c r="F72" s="4"/>
      <x:c r="G72" s="4"/>
      <x:c r="H72" s="4"/>
      <x:c r="I72" s="4"/>
      <x:c r="J72" s="1"/>
      <x:c r="K72" s="1"/>
      <x:c r="L72" s="1"/>
    </x:row>
    <x:row r="73" ht="22" customHeight="1">
      <x:c r="A73" s="1"/>
      <x:c r="B73" s="1"/>
      <x:c r="C73" s="1"/>
      <x:c r="D73" s="4"/>
      <x:c r="E73" s="4"/>
      <x:c r="F73" s="4"/>
      <x:c r="G73" s="4"/>
      <x:c r="H73" s="4"/>
      <x:c r="I73" s="4"/>
      <x:c r="J73" s="1"/>
      <x:c r="K73" s="1"/>
      <x:c r="L73" s="1"/>
    </x:row>
    <x:row r="74" ht="22" customHeight="1">
      <x:c r="A74" s="1"/>
      <x:c r="B74" s="1"/>
      <x:c r="C74" s="1"/>
      <x:c r="D74" s="4"/>
      <x:c r="E74" s="4"/>
      <x:c r="F74" s="4"/>
      <x:c r="G74" s="4"/>
      <x:c r="H74" s="4"/>
      <x:c r="I74" s="4"/>
      <x:c r="J74" s="1"/>
      <x:c r="K74" s="1"/>
      <x:c r="L74" s="1"/>
    </x:row>
    <x:row r="75" ht="22" customHeight="1">
      <x:c r="A75" s="1"/>
      <x:c r="B75" s="1"/>
      <x:c r="C75" s="1"/>
      <x:c r="D75" s="4"/>
      <x:c r="E75" s="4"/>
      <x:c r="F75" s="4"/>
      <x:c r="G75" s="4"/>
      <x:c r="H75" s="4"/>
      <x:c r="I75" s="4"/>
      <x:c r="J75" s="1"/>
      <x:c r="K75" s="1"/>
      <x:c r="L75" s="1"/>
    </x:row>
    <x:row r="76" ht="22" customHeight="1">
      <x:c r="A76" s="1"/>
      <x:c r="B76" s="1"/>
      <x:c r="C76" s="1"/>
      <x:c r="D76" s="4"/>
      <x:c r="E76" s="4"/>
      <x:c r="F76" s="4"/>
      <x:c r="G76" s="4"/>
      <x:c r="H76" s="4"/>
      <x:c r="I76" s="4"/>
      <x:c r="J76" s="1"/>
      <x:c r="K76" s="1"/>
      <x:c r="L76" s="1"/>
    </x:row>
    <x:row r="77" ht="22" customHeight="1">
      <x:c r="A77" s="1"/>
      <x:c r="B77" s="1"/>
      <x:c r="C77" s="1"/>
      <x:c r="D77" s="4"/>
      <x:c r="E77" s="4"/>
      <x:c r="F77" s="4"/>
      <x:c r="G77" s="4"/>
      <x:c r="H77" s="4"/>
      <x:c r="I77" s="4"/>
      <x:c r="J77" s="1"/>
      <x:c r="K77" s="1"/>
      <x:c r="L77" s="1"/>
    </x:row>
    <x:row r="78" ht="22" customHeight="1">
      <x:c r="A78" s="1"/>
      <x:c r="B78" s="1"/>
      <x:c r="C78" s="1"/>
      <x:c r="D78" s="4"/>
      <x:c r="E78" s="4"/>
      <x:c r="F78" s="4"/>
      <x:c r="G78" s="4"/>
      <x:c r="H78" s="4"/>
      <x:c r="I78" s="4"/>
      <x:c r="J78" s="1"/>
      <x:c r="K78" s="1"/>
      <x:c r="L78" s="1"/>
    </x:row>
    <x:row r="79" ht="22" customHeight="1">
      <x:c r="A79" s="1"/>
      <x:c r="B79" s="1"/>
      <x:c r="C79" s="1"/>
      <x:c r="D79" s="4"/>
      <x:c r="E79" s="4"/>
      <x:c r="F79" s="4"/>
      <x:c r="G79" s="4"/>
      <x:c r="H79" s="4"/>
      <x:c r="I79" s="4"/>
      <x:c r="J79" s="1"/>
      <x:c r="K79" s="1"/>
      <x:c r="L79" s="1"/>
    </x:row>
    <x:row r="80" ht="22" customHeight="1">
      <x:c r="A80" s="1"/>
      <x:c r="B80" s="1"/>
      <x:c r="C80" s="1"/>
      <x:c r="D80" s="4"/>
      <x:c r="E80" s="4"/>
      <x:c r="F80" s="4"/>
      <x:c r="G80" s="4"/>
      <x:c r="H80" s="4"/>
      <x:c r="I80" s="4"/>
      <x:c r="J80" s="1"/>
      <x:c r="K80" s="1"/>
      <x:c r="L80" s="1"/>
    </x:row>
    <x:row r="81" ht="22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</x:row>
    <x:row r="82" ht="22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</x:row>
    <x:row r="83" ht="22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</x:row>
    <x:row r="84" ht="22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</x:row>
    <x:row r="85" ht="22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33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26" hidden="0" customWidth="1"/>
    <x:col min="11" max="11" width="26" hidden="0" customWidth="1"/>
    <x:col min="12" max="12" width="26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2" customHeight="1">
      <x:c r="A2" s="1"/>
      <x:c r="B2" s="1"/>
      <x:c r="C2" s="2" t="str">
        <x:v>PER</x:v>
      </x:c>
      <x:c r="D2" s="2"/>
      <x:c r="E2" s="2"/>
      <x:c r="F2" s="2"/>
      <x:c r="G2" s="2"/>
      <x:c r="H2" s="2"/>
      <x:c r="I2" s="2"/>
      <x:c r="J2" s="1"/>
      <x:c r="K2" s="1"/>
      <x:c r="L2" s="1"/>
    </x:row>
    <x:row r="3" ht="22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22" customHeight="1">
      <x:c r="A4" s="1"/>
      <x:c r="B4" s="1"/>
      <x:c r="C4" s="1" t="str">
        <x:v>Case selected</x:v>
      </x:c>
      <x:c r="D4" s="3" t="str">
        <x:f>Inputs!D3</x:f>
        <x:v>Base</x:v>
      </x:c>
      <x:c r="E4" s="1"/>
      <x:c r="F4" s="1"/>
      <x:c r="G4" s="1"/>
      <x:c r="H4" s="1"/>
      <x:c r="I4" s="1"/>
      <x:c r="J4" s="1"/>
      <x:c r="K4" s="1"/>
      <x:c r="L4" s="1"/>
    </x:row>
    <x:row r="5" ht="22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 ht="22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</x:row>
    <x:row r="7" ht="22" customHeight="1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</x:row>
    <x:row r="8" ht="22" customHeight="1">
      <x:c r="A8" s="1"/>
      <x:c r="B8" s="1"/>
      <x:c r="C8" s="1" t="str">
        <x:v>2027 revenue</x:v>
      </x:c>
      <x:c r="D8" s="9" t="n">
        <x:f>Forecast!E8</x:f>
        <x:v>418.55</x:v>
      </x:c>
      <x:c r="E8" s="4"/>
      <x:c r="F8" s="4"/>
      <x:c r="G8" s="4"/>
      <x:c r="H8" s="4"/>
      <x:c r="I8" s="4"/>
      <x:c r="J8" s="1"/>
      <x:c r="K8" s="1"/>
      <x:c r="L8" s="1"/>
    </x:row>
    <x:row r="9" ht="22" customHeight="1">
      <x:c r="A9" s="1"/>
      <x:c r="B9" s="1"/>
      <x:c r="C9" s="1" t="str">
        <x:v>Normalized operating margin</x:v>
      </x:c>
      <x:c r="D9" s="11" t="n">
        <x:f>Inputs!$D$17</x:f>
        <x:v>0.3</x:v>
      </x:c>
      <x:c r="E9" s="4"/>
      <x:c r="F9" s="4"/>
      <x:c r="G9" s="4"/>
      <x:c r="H9" s="4"/>
      <x:c r="I9" s="4"/>
      <x:c r="J9" s="1"/>
      <x:c r="K9" s="1"/>
      <x:c r="L9" s="1"/>
    </x:row>
    <x:row r="10" ht="22" customHeight="1">
      <x:c r="A10" s="1"/>
      <x:c r="B10" s="1"/>
      <x:c r="C10" s="1" t="str">
        <x:v>Normalized NOPAT</x:v>
      </x:c>
      <x:c r="D10" s="9" t="n">
        <x:f>D8*D9*(1-Forecast!E12)</x:f>
        <x:v>95.4294</x:v>
      </x:c>
      <x:c r="E10" s="4"/>
      <x:c r="F10" s="4"/>
      <x:c r="G10" s="4"/>
      <x:c r="H10" s="4"/>
      <x:c r="I10" s="4"/>
      <x:c r="J10" s="1"/>
      <x:c r="K10" s="1"/>
      <x:c r="L10" s="1"/>
    </x:row>
    <x:row r="11" ht="22" customHeight="1">
      <x:c r="A11" s="1"/>
      <x:c r="B11" s="1"/>
      <x:c r="C11" s="1" t="str">
        <x:v>Parent allocation</x:v>
      </x:c>
      <x:c r="D11" s="9" t="n">
        <x:f>Forecast!E27</x:f>
        <x:v>1</x:v>
      </x:c>
      <x:c r="E11" s="4"/>
      <x:c r="F11" s="4"/>
      <x:c r="G11" s="4"/>
      <x:c r="H11" s="4"/>
      <x:c r="I11" s="4"/>
      <x:c r="J11" s="1"/>
      <x:c r="K11" s="1"/>
      <x:c r="L11" s="1"/>
    </x:row>
    <x:row r="12" ht="22" customHeight="1">
      <x:c r="A12" s="1"/>
      <x:c r="B12" s="1"/>
      <x:c r="C12" s="1" t="str">
        <x:v>Parent operating NI</x:v>
      </x:c>
      <x:c r="D12" s="4" t="n">
        <x:f>D10*D11</x:f>
        <x:v>95.4294</x:v>
      </x:c>
      <x:c r="E12" s="4"/>
      <x:c r="F12" s="4"/>
      <x:c r="G12" s="4"/>
      <x:c r="H12" s="4"/>
      <x:c r="I12" s="4"/>
      <x:c r="J12" s="1"/>
      <x:c r="K12" s="1"/>
      <x:c r="L12" s="1"/>
    </x:row>
    <x:row r="13" ht="22" customHeight="1">
      <x:c r="A13" s="1"/>
      <x:c r="B13" s="1"/>
      <x:c r="C13" s="1" t="str">
        <x:v>Cash return</x:v>
      </x:c>
      <x:c r="D13" s="9" t="n">
        <x:f>'Cash Equity Bridge'!D21*Inputs!$D$20</x:f>
        <x:v>8.268485458391064</x:v>
      </x:c>
      <x:c r="E13" s="4"/>
      <x:c r="F13" s="4"/>
      <x:c r="G13" s="4"/>
      <x:c r="H13" s="4"/>
      <x:c r="I13" s="4"/>
      <x:c r="J13" s="1"/>
      <x:c r="K13" s="1"/>
      <x:c r="L13" s="1"/>
    </x:row>
    <x:row r="14" ht="22" customHeight="1">
      <x:c r="A14" s="1"/>
      <x:c r="B14" s="1"/>
      <x:c r="C14" s="1" t="str">
        <x:v>Normalized parent NI</x:v>
      </x:c>
      <x:c r="D14" s="4" t="n">
        <x:f>D12+D13</x:f>
        <x:v>103.69788545839107</x:v>
      </x:c>
      <x:c r="E14" s="4"/>
      <x:c r="F14" s="4"/>
      <x:c r="G14" s="4"/>
      <x:c r="H14" s="4"/>
      <x:c r="I14" s="4"/>
      <x:c r="J14" s="1"/>
      <x:c r="K14" s="1"/>
      <x:c r="L14" s="1"/>
    </x:row>
    <x:row r="15" ht="22" customHeight="1">
      <x:c r="A15" s="1"/>
      <x:c r="B15" s="1"/>
      <x:c r="C15" s="1" t="str">
        <x:v>Normalized EPS</x:v>
      </x:c>
      <x:c r="D15" s="9" t="n">
        <x:f>D14*1000/'Cash Equity Bridge'!D23</x:f>
        <x:v>9275.787345098444</x:v>
      </x:c>
      <x:c r="E15" s="4"/>
      <x:c r="F15" s="4"/>
      <x:c r="G15" s="4"/>
      <x:c r="H15" s="4"/>
      <x:c r="I15" s="4"/>
      <x:c r="J15" s="1"/>
      <x:c r="K15" s="1"/>
      <x:c r="L15" s="1"/>
    </x:row>
    <x:row r="16" ht="22" customHeight="1">
      <x:c r="A16" s="1"/>
      <x:c r="B16" s="1"/>
      <x:c r="C16" s="1"/>
      <x:c r="D16" s="4"/>
      <x:c r="E16" s="4"/>
      <x:c r="F16" s="4"/>
      <x:c r="G16" s="4"/>
      <x:c r="H16" s="4"/>
      <x:c r="I16" s="4"/>
      <x:c r="J16" s="1"/>
      <x:c r="K16" s="1"/>
      <x:c r="L16" s="1"/>
    </x:row>
    <x:row r="17" ht="22" customHeight="1">
      <x:c r="A17" s="1"/>
      <x:c r="B17" s="1"/>
      <x:c r="C17" s="1"/>
      <x:c r="D17" s="4"/>
      <x:c r="E17" s="4"/>
      <x:c r="F17" s="4"/>
      <x:c r="G17" s="4"/>
      <x:c r="H17" s="4"/>
      <x:c r="I17" s="4"/>
      <x:c r="J17" s="1"/>
      <x:c r="K17" s="1"/>
      <x:c r="L17" s="1"/>
    </x:row>
    <x:row r="18" ht="22" customHeight="1">
      <x:c r="A18" s="1"/>
      <x:c r="B18" s="1"/>
      <x:c r="C18" s="1" t="str">
        <x:v>EPS growth 5 years</x:v>
      </x:c>
      <x:c r="D18" s="11" t="n">
        <x:f>Inputs!$D$15</x:f>
        <x:v>0.07</x:v>
      </x:c>
      <x:c r="E18" s="4"/>
      <x:c r="F18" s="4"/>
      <x:c r="G18" s="4"/>
      <x:c r="H18" s="4"/>
      <x:c r="I18" s="4"/>
      <x:c r="J18" s="1"/>
      <x:c r="K18" s="1"/>
      <x:c r="L18" s="1"/>
    </x:row>
    <x:row r="19" ht="22" customHeight="1">
      <x:c r="A19" s="1"/>
      <x:c r="B19" s="1"/>
      <x:c r="C19" s="1" t="str">
        <x:v>Incremental ROE</x:v>
      </x:c>
      <x:c r="D19" s="11" t="n">
        <x:f>Inputs!$D$16</x:f>
        <x:v>0.2</x:v>
      </x:c>
      <x:c r="E19" s="4"/>
      <x:c r="F19" s="4"/>
      <x:c r="G19" s="4"/>
      <x:c r="H19" s="4"/>
      <x:c r="I19" s="4"/>
      <x:c r="J19" s="1"/>
      <x:c r="K19" s="1"/>
      <x:c r="L19" s="1"/>
    </x:row>
    <x:row r="20" ht="22" customHeight="1">
      <x:c r="A20" s="1"/>
      <x:c r="B20" s="1"/>
      <x:c r="C20" s="1" t="str">
        <x:v>Growth phase payout</x:v>
      </x:c>
      <x:c r="D20" s="5" t="n">
        <x:f>1-D18/D19</x:f>
        <x:v>0.6499999999999999</x:v>
      </x:c>
      <x:c r="E20" s="4"/>
      <x:c r="F20" s="4"/>
      <x:c r="G20" s="4"/>
      <x:c r="H20" s="4"/>
      <x:c r="I20" s="4"/>
      <x:c r="J20" s="1"/>
      <x:c r="K20" s="1"/>
      <x:c r="L20" s="1"/>
    </x:row>
    <x:row r="21" ht="22" customHeight="1">
      <x:c r="A21" s="1"/>
      <x:c r="B21" s="1"/>
      <x:c r="C21" s="1" t="str">
        <x:v>Stable growth</x:v>
      </x:c>
      <x:c r="D21" s="11" t="n">
        <x:f>Inputs!$D$11</x:f>
        <x:v>0.02</x:v>
      </x:c>
      <x:c r="E21" s="4"/>
      <x:c r="F21" s="4"/>
      <x:c r="G21" s="4"/>
      <x:c r="H21" s="4"/>
      <x:c r="I21" s="4"/>
      <x:c r="J21" s="1"/>
      <x:c r="K21" s="1"/>
      <x:c r="L21" s="1"/>
    </x:row>
    <x:row r="22" ht="22" customHeight="1">
      <x:c r="A22" s="1"/>
      <x:c r="B22" s="1"/>
      <x:c r="C22" s="1" t="str">
        <x:v>Stable ROE</x:v>
      </x:c>
      <x:c r="D22" s="11" t="n">
        <x:f>Inputs!$D$13</x:f>
        <x:v>0.13</x:v>
      </x:c>
      <x:c r="E22" s="4"/>
      <x:c r="F22" s="4"/>
      <x:c r="G22" s="4"/>
      <x:c r="H22" s="4"/>
      <x:c r="I22" s="4"/>
      <x:c r="J22" s="1"/>
      <x:c r="K22" s="1"/>
      <x:c r="L22" s="1"/>
    </x:row>
    <x:row r="23" ht="22" customHeight="1">
      <x:c r="A23" s="1"/>
      <x:c r="B23" s="1"/>
      <x:c r="C23" s="1" t="str">
        <x:v>Cost of equity</x:v>
      </x:c>
      <x:c r="D23" s="11" t="n">
        <x:f>Inputs!$D$10</x:f>
        <x:v>0.105</x:v>
      </x:c>
      <x:c r="E23" s="4"/>
      <x:c r="F23" s="4"/>
      <x:c r="G23" s="4"/>
      <x:c r="H23" s="4"/>
      <x:c r="I23" s="4"/>
      <x:c r="J23" s="1"/>
      <x:c r="K23" s="1"/>
      <x:c r="L23" s="1"/>
    </x:row>
    <x:row r="24" ht="22" customHeight="1">
      <x:c r="A24" s="1"/>
      <x:c r="B24" s="1"/>
      <x:c r="C24" s="1" t="str">
        <x:v>Stable payout</x:v>
      </x:c>
      <x:c r="D24" s="5" t="n">
        <x:f>1-D21/D22</x:f>
        <x:v>0.8461538461538461</x:v>
      </x:c>
      <x:c r="E24" s="4"/>
      <x:c r="F24" s="4"/>
      <x:c r="G24" s="4"/>
      <x:c r="H24" s="4"/>
      <x:c r="I24" s="4"/>
      <x:c r="J24" s="1"/>
      <x:c r="K24" s="1"/>
      <x:c r="L24" s="1"/>
    </x:row>
    <x:row r="25" ht="22" customHeight="1">
      <x:c r="A25" s="1"/>
      <x:c r="B25" s="1"/>
      <x:c r="C25" s="1" t="str">
        <x:v>Terminal forward PE</x:v>
      </x:c>
      <x:c r="D25" s="4" t="n">
        <x:f>D24/(D23-D21)</x:f>
        <x:v>9.95475113122172</x:v>
      </x:c>
      <x:c r="E25" s="4"/>
      <x:c r="F25" s="4"/>
      <x:c r="G25" s="4"/>
      <x:c r="H25" s="4"/>
      <x:c r="I25" s="4"/>
      <x:c r="J25" s="1"/>
      <x:c r="K25" s="1"/>
      <x:c r="L25" s="1"/>
    </x:row>
    <x:row r="26" ht="22" customHeight="1">
      <x:c r="A26" s="1"/>
      <x:c r="B26" s="1"/>
      <x:c r="C26" s="1"/>
      <x:c r="D26" s="4"/>
      <x:c r="E26" s="4"/>
      <x:c r="F26" s="4"/>
      <x:c r="G26" s="4"/>
      <x:c r="H26" s="4"/>
      <x:c r="I26" s="4"/>
      <x:c r="J26" s="1"/>
      <x:c r="K26" s="1"/>
      <x:c r="L26" s="1"/>
    </x:row>
    <x:row r="27" ht="22" customHeight="1">
      <x:c r="A27" s="1"/>
      <x:c r="B27" s="1"/>
      <x:c r="C27" s="1"/>
      <x:c r="D27" s="4"/>
      <x:c r="E27" s="4"/>
      <x:c r="F27" s="4"/>
      <x:c r="G27" s="4"/>
      <x:c r="H27" s="4"/>
      <x:c r="I27" s="4"/>
      <x:c r="J27" s="1"/>
      <x:c r="K27" s="1"/>
      <x:c r="L27" s="1"/>
    </x:row>
    <x:row r="28" ht="22" customHeight="1">
      <x:c r="A28" s="1"/>
      <x:c r="B28" s="1"/>
      <x:c r="C28" s="1"/>
      <x:c r="D28" s="4"/>
      <x:c r="E28" s="4"/>
      <x:c r="F28" s="4"/>
      <x:c r="G28" s="4"/>
      <x:c r="H28" s="4"/>
      <x:c r="I28" s="4"/>
      <x:c r="J28" s="1"/>
      <x:c r="K28" s="1"/>
      <x:c r="L28" s="1"/>
    </x:row>
    <x:row r="29" ht="27" customHeight="1">
      <x:c r="A29" s="1"/>
      <x:c r="B29" s="1"/>
      <x:c r="C29" s="18"/>
      <x:c r="D29" s="19" t="n">
        <x:v>2027</x:v>
      </x:c>
      <x:c r="E29" s="19" t="n">
        <x:v>2028</x:v>
      </x:c>
      <x:c r="F29" s="19" t="n">
        <x:v>2029</x:v>
      </x:c>
      <x:c r="G29" s="19" t="n">
        <x:v>2030</x:v>
      </x:c>
      <x:c r="H29" s="19" t="n">
        <x:v>2031</x:v>
      </x:c>
      <x:c r="I29" s="4"/>
      <x:c r="J29" s="1"/>
      <x:c r="K29" s="1"/>
      <x:c r="L29" s="1"/>
    </x:row>
    <x:row r="30" ht="22" customHeight="1">
      <x:c r="A30" s="1"/>
      <x:c r="B30" s="1"/>
      <x:c r="C30" s="1" t="str">
        <x:v>EPS / EPS_2027</x:v>
      </x:c>
      <x:c r="D30" s="4" t="n">
        <x:f>(1+$D$18)^0</x:f>
        <x:v>1</x:v>
      </x:c>
      <x:c r="E30" s="4" t="n">
        <x:f>(1+$D$18)^1</x:f>
        <x:v>1.07</x:v>
      </x:c>
      <x:c r="F30" s="4" t="n">
        <x:f>(1+$D$18)^2</x:f>
        <x:v>1.1449</x:v>
      </x:c>
      <x:c r="G30" s="4" t="n">
        <x:f>(1+$D$18)^3</x:f>
        <x:v>1.225043</x:v>
      </x:c>
      <x:c r="H30" s="4" t="n">
        <x:f>(1+$D$18)^4</x:f>
        <x:v>1.3107960100000002</x:v>
      </x:c>
      <x:c r="I30" s="4"/>
      <x:c r="J30" s="1"/>
      <x:c r="K30" s="1"/>
      <x:c r="L30" s="1"/>
    </x:row>
    <x:row r="31" ht="22" customHeight="1">
      <x:c r="A31" s="1"/>
      <x:c r="B31" s="1"/>
      <x:c r="C31" s="1" t="str">
        <x:v>Payout</x:v>
      </x:c>
      <x:c r="D31" s="4" t="n">
        <x:f>$D$20</x:f>
        <x:v>0.6499999999999999</x:v>
      </x:c>
      <x:c r="E31" s="4" t="n">
        <x:f>$D$20</x:f>
        <x:v>0.6499999999999999</x:v>
      </x:c>
      <x:c r="F31" s="4" t="n">
        <x:f>$D$20</x:f>
        <x:v>0.6499999999999999</x:v>
      </x:c>
      <x:c r="G31" s="4" t="n">
        <x:f>$D$20</x:f>
        <x:v>0.6499999999999999</x:v>
      </x:c>
      <x:c r="H31" s="4" t="n">
        <x:f>$D$20</x:f>
        <x:v>0.6499999999999999</x:v>
      </x:c>
      <x:c r="I31" s="4"/>
      <x:c r="J31" s="1"/>
      <x:c r="K31" s="1"/>
      <x:c r="L31" s="1"/>
    </x:row>
    <x:row r="32" ht="22" customHeight="1">
      <x:c r="A32" s="1"/>
      <x:c r="B32" s="1"/>
      <x:c r="C32" s="1" t="str">
        <x:v>Discount factor</x:v>
      </x:c>
      <x:c r="D32" s="4" t="n">
        <x:f>1/(1+$D$23)^1</x:f>
        <x:v>0.9049773755656109</x:v>
      </x:c>
      <x:c r="E32" s="4" t="n">
        <x:f>1/(1+$D$23)^2</x:f>
        <x:v>0.8189840502856207</x:v>
      </x:c>
      <x:c r="F32" s="4" t="n">
        <x:f>1/(1+$D$23)^3</x:f>
        <x:v>0.7411620364575753</x:v>
      </x:c>
      <x:c r="G32" s="4" t="n">
        <x:f>1/(1+$D$23)^4</x:f>
        <x:v>0.6707348746222401</x:v>
      </x:c>
      <x:c r="H32" s="4" t="n">
        <x:f>1/(1+$D$23)^5</x:f>
        <x:v>0.6069998865359639</x:v>
      </x:c>
      <x:c r="I32" s="4"/>
      <x:c r="J32" s="1"/>
      <x:c r="K32" s="1"/>
      <x:c r="L32" s="1"/>
    </x:row>
    <x:row r="33" ht="22" customHeight="1">
      <x:c r="A33" s="1"/>
      <x:c r="B33" s="1"/>
      <x:c r="C33" s="1" t="str">
        <x:v>PV payout / EPS_2027</x:v>
      </x:c>
      <x:c r="D33" s="4" t="n">
        <x:f>D30*D31*D32</x:f>
        <x:v>0.588235294117647</x:v>
      </x:c>
      <x:c r="E33" s="4" t="n">
        <x:f>E30*E31*E32</x:f>
        <x:v>0.5696034069736491</x:v>
      </x:c>
      <x:c r="F33" s="4" t="n">
        <x:f>F30*F31*F32</x:f>
        <x:v>0.5515616701011805</x:v>
      </x:c>
      <x:c r="G33" s="4" t="n">
        <x:f>G30*G31*G32</x:f>
        <x:v>0.5340913909577044</x:v>
      </x:c>
      <x:c r="H33" s="4" t="n">
        <x:f>H30*H31*H32</x:f>
        <x:v>0.5171744690721662</x:v>
      </x:c>
      <x:c r="I33" s="4"/>
      <x:c r="J33" s="1"/>
      <x:c r="K33" s="1"/>
      <x:c r="L33" s="1"/>
    </x:row>
    <x:row r="34" ht="22" customHeight="1">
      <x:c r="A34" s="1"/>
      <x:c r="B34" s="1"/>
      <x:c r="C34" s="1"/>
      <x:c r="D34" s="4"/>
      <x:c r="E34" s="4"/>
      <x:c r="F34" s="4"/>
      <x:c r="G34" s="4"/>
      <x:c r="H34" s="4"/>
      <x:c r="I34" s="4"/>
      <x:c r="J34" s="1"/>
      <x:c r="K34" s="1"/>
      <x:c r="L34" s="1"/>
    </x:row>
    <x:row r="35" ht="22" customHeight="1">
      <x:c r="A35" s="1"/>
      <x:c r="B35" s="1"/>
      <x:c r="C35" s="1"/>
      <x:c r="D35" s="4"/>
      <x:c r="E35" s="4"/>
      <x:c r="F35" s="4"/>
      <x:c r="G35" s="4"/>
      <x:c r="H35" s="4"/>
      <x:c r="I35" s="4"/>
      <x:c r="J35" s="1"/>
      <x:c r="K35" s="1"/>
      <x:c r="L35" s="1"/>
    </x:row>
    <x:row r="36" ht="22" customHeight="1">
      <x:c r="A36" s="1"/>
      <x:c r="B36" s="1"/>
      <x:c r="C36" s="1" t="str">
        <x:v>PV payout / EPS_2027</x:v>
      </x:c>
      <x:c r="D36" s="4" t="n">
        <x:f>SUM(D33:H33)</x:f>
        <x:v>2.760666231222347</x:v>
      </x:c>
      <x:c r="E36" s="4"/>
      <x:c r="F36" s="4"/>
      <x:c r="G36" s="4"/>
      <x:c r="H36" s="4"/>
      <x:c r="I36" s="4"/>
      <x:c r="J36" s="1"/>
      <x:c r="K36" s="1"/>
      <x:c r="L36" s="1"/>
    </x:row>
    <x:row r="37" ht="22" customHeight="1">
      <x:c r="A37" s="1"/>
      <x:c r="B37" s="1"/>
      <x:c r="C37" s="1" t="str">
        <x:v>PV terminal / EPS_2027</x:v>
      </x:c>
      <x:c r="D37" s="4" t="n">
        <x:f>H30*(1+D21)*D25/(1+D23)^5</x:f>
        <x:v>8.078938451778221</x:v>
      </x:c>
      <x:c r="E37" s="4"/>
      <x:c r="F37" s="4"/>
      <x:c r="G37" s="4"/>
      <x:c r="H37" s="4"/>
      <x:c r="I37" s="4"/>
      <x:c r="J37" s="1"/>
      <x:c r="K37" s="1"/>
      <x:c r="L37" s="1"/>
    </x:row>
    <x:row r="38" ht="22" customHeight="1">
      <x:c r="A38" s="1"/>
      <x:c r="B38" s="1"/>
      <x:c r="C38" s="1" t="str">
        <x:v>Justified forward PER</x:v>
      </x:c>
      <x:c r="D38" s="4" t="n">
        <x:f>D36+D37</x:f>
        <x:v>10.839604683000568</x:v>
      </x:c>
      <x:c r="E38" s="4"/>
      <x:c r="F38" s="4"/>
      <x:c r="G38" s="4"/>
      <x:c r="H38" s="4"/>
      <x:c r="I38" s="4"/>
      <x:c r="J38" s="1"/>
      <x:c r="K38" s="1"/>
      <x:c r="L38" s="1"/>
    </x:row>
    <x:row r="39" ht="22" customHeight="1">
      <x:c r="A39" s="1"/>
      <x:c r="B39" s="1"/>
      <x:c r="C39" s="1" t="str">
        <x:v>PER KRW/share</x:v>
      </x:c>
      <x:c r="D39" s="4" t="n">
        <x:f>D15*D38</x:f>
        <x:v>100545.8679444465</x:v>
      </x:c>
      <x:c r="E39" s="4"/>
      <x:c r="F39" s="4"/>
      <x:c r="G39" s="4"/>
      <x:c r="H39" s="4"/>
      <x:c r="I39" s="4"/>
      <x:c r="J39" s="1"/>
      <x:c r="K39" s="1"/>
      <x:c r="L39" s="1"/>
    </x:row>
    <x:row r="40" ht="22" customHeight="1">
      <x:c r="A40" s="1"/>
      <x:c r="B40" s="1"/>
      <x:c r="C40" s="1"/>
      <x:c r="D40" s="4"/>
      <x:c r="E40" s="4"/>
      <x:c r="F40" s="4"/>
      <x:c r="G40" s="4"/>
      <x:c r="H40" s="4"/>
      <x:c r="I40" s="4"/>
      <x:c r="J40" s="1"/>
      <x:c r="K40" s="1"/>
      <x:c r="L40" s="1"/>
    </x:row>
    <x:row r="41" ht="22" customHeight="1">
      <x:c r="A41" s="1"/>
      <x:c r="B41" s="1"/>
      <x:c r="C41" s="1"/>
      <x:c r="D41" s="4"/>
      <x:c r="E41" s="4"/>
      <x:c r="F41" s="4"/>
      <x:c r="G41" s="4"/>
      <x:c r="H41" s="4"/>
      <x:c r="I41" s="4"/>
      <x:c r="J41" s="1"/>
      <x:c r="K41" s="1"/>
      <x:c r="L41" s="1"/>
    </x:row>
    <x:row r="42" ht="22" customHeight="1">
      <x:c r="A42" s="1"/>
      <x:c r="B42" s="1"/>
      <x:c r="C42" s="1"/>
      <x:c r="D42" s="4"/>
      <x:c r="E42" s="4"/>
      <x:c r="F42" s="4"/>
      <x:c r="G42" s="4"/>
      <x:c r="H42" s="4"/>
      <x:c r="I42" s="4"/>
      <x:c r="J42" s="1"/>
      <x:c r="K42" s="1"/>
      <x:c r="L42" s="1"/>
    </x:row>
    <x:row r="43" ht="22" customHeight="1">
      <x:c r="A43" s="1"/>
      <x:c r="B43" s="1"/>
      <x:c r="C43" s="1"/>
      <x:c r="D43" s="4"/>
      <x:c r="E43" s="4"/>
      <x:c r="F43" s="4"/>
      <x:c r="G43" s="4"/>
      <x:c r="H43" s="4"/>
      <x:c r="I43" s="4"/>
      <x:c r="J43" s="1"/>
      <x:c r="K43" s="1"/>
      <x:c r="L43" s="1"/>
    </x:row>
    <x:row r="44" ht="22" customHeight="1">
      <x:c r="A44" s="1"/>
      <x:c r="B44" s="1"/>
      <x:c r="C44" s="1"/>
      <x:c r="D44" s="4"/>
      <x:c r="E44" s="4"/>
      <x:c r="F44" s="4"/>
      <x:c r="G44" s="4"/>
      <x:c r="H44" s="4"/>
      <x:c r="I44" s="4"/>
      <x:c r="J44" s="1"/>
      <x:c r="K44" s="1"/>
      <x:c r="L44" s="1"/>
    </x:row>
    <x:row r="45" ht="22" customHeight="1">
      <x:c r="A45" s="1"/>
      <x:c r="B45" s="1"/>
      <x:c r="C45" s="1"/>
      <x:c r="D45" s="4"/>
      <x:c r="E45" s="4"/>
      <x:c r="F45" s="4"/>
      <x:c r="G45" s="4"/>
      <x:c r="H45" s="4"/>
      <x:c r="I45" s="4"/>
      <x:c r="J45" s="1"/>
      <x:c r="K45" s="1"/>
      <x:c r="L45" s="1"/>
    </x:row>
    <x:row r="46" ht="22" customHeight="1">
      <x:c r="A46" s="1"/>
      <x:c r="B46" s="1"/>
      <x:c r="C46" s="1"/>
      <x:c r="D46" s="4"/>
      <x:c r="E46" s="4"/>
      <x:c r="F46" s="4"/>
      <x:c r="G46" s="4"/>
      <x:c r="H46" s="4"/>
      <x:c r="I46" s="4"/>
      <x:c r="J46" s="1"/>
      <x:c r="K46" s="1"/>
      <x:c r="L46" s="1"/>
    </x:row>
    <x:row r="47" ht="22" customHeight="1">
      <x:c r="A47" s="1"/>
      <x:c r="B47" s="1"/>
      <x:c r="C47" s="1"/>
      <x:c r="D47" s="4"/>
      <x:c r="E47" s="4"/>
      <x:c r="F47" s="4"/>
      <x:c r="G47" s="4"/>
      <x:c r="H47" s="4"/>
      <x:c r="I47" s="4"/>
      <x:c r="J47" s="1"/>
      <x:c r="K47" s="1"/>
      <x:c r="L47" s="1"/>
    </x:row>
    <x:row r="48" ht="22" customHeight="1">
      <x:c r="A48" s="1"/>
      <x:c r="B48" s="1"/>
      <x:c r="C48" s="1"/>
      <x:c r="D48" s="4"/>
      <x:c r="E48" s="4"/>
      <x:c r="F48" s="4"/>
      <x:c r="G48" s="4"/>
      <x:c r="H48" s="4"/>
      <x:c r="I48" s="4"/>
      <x:c r="J48" s="1"/>
      <x:c r="K48" s="1"/>
      <x:c r="L48" s="1"/>
    </x:row>
    <x:row r="49" ht="22" customHeight="1">
      <x:c r="A49" s="1"/>
      <x:c r="B49" s="1"/>
      <x:c r="C49" s="1"/>
      <x:c r="D49" s="4"/>
      <x:c r="E49" s="4"/>
      <x:c r="F49" s="4"/>
      <x:c r="G49" s="4"/>
      <x:c r="H49" s="4"/>
      <x:c r="I49" s="4"/>
      <x:c r="J49" s="1"/>
      <x:c r="K49" s="1"/>
      <x:c r="L49" s="1"/>
    </x:row>
    <x:row r="50" ht="22" customHeight="1">
      <x:c r="A50" s="1"/>
      <x:c r="B50" s="1"/>
      <x:c r="C50" s="1"/>
      <x:c r="D50" s="4"/>
      <x:c r="E50" s="4"/>
      <x:c r="F50" s="4"/>
      <x:c r="G50" s="4"/>
      <x:c r="H50" s="4"/>
      <x:c r="I50" s="4"/>
      <x:c r="J50" s="1"/>
      <x:c r="K50" s="1"/>
      <x:c r="L50" s="1"/>
    </x:row>
    <x:row r="51" ht="22" customHeight="1">
      <x:c r="A51" s="1"/>
      <x:c r="B51" s="1"/>
      <x:c r="C51" s="1"/>
      <x:c r="D51" s="4"/>
      <x:c r="E51" s="4"/>
      <x:c r="F51" s="4"/>
      <x:c r="G51" s="4"/>
      <x:c r="H51" s="4"/>
      <x:c r="I51" s="4"/>
      <x:c r="J51" s="1"/>
      <x:c r="K51" s="1"/>
      <x:c r="L51" s="1"/>
    </x:row>
    <x:row r="52" ht="22" customHeight="1">
      <x:c r="A52" s="1"/>
      <x:c r="B52" s="1"/>
      <x:c r="C52" s="1"/>
      <x:c r="D52" s="4"/>
      <x:c r="E52" s="4"/>
      <x:c r="F52" s="4"/>
      <x:c r="G52" s="4"/>
      <x:c r="H52" s="4"/>
      <x:c r="I52" s="4"/>
      <x:c r="J52" s="1"/>
      <x:c r="K52" s="1"/>
      <x:c r="L52" s="1"/>
    </x:row>
    <x:row r="53" ht="22" customHeight="1">
      <x:c r="A53" s="1"/>
      <x:c r="B53" s="1"/>
      <x:c r="C53" s="1"/>
      <x:c r="D53" s="4"/>
      <x:c r="E53" s="4"/>
      <x:c r="F53" s="4"/>
      <x:c r="G53" s="4"/>
      <x:c r="H53" s="4"/>
      <x:c r="I53" s="4"/>
      <x:c r="J53" s="1"/>
      <x:c r="K53" s="1"/>
      <x:c r="L53" s="1"/>
    </x:row>
    <x:row r="54" ht="22" customHeight="1">
      <x:c r="A54" s="1"/>
      <x:c r="B54" s="1"/>
      <x:c r="C54" s="1"/>
      <x:c r="D54" s="4"/>
      <x:c r="E54" s="4"/>
      <x:c r="F54" s="4"/>
      <x:c r="G54" s="4"/>
      <x:c r="H54" s="4"/>
      <x:c r="I54" s="4"/>
      <x:c r="J54" s="1"/>
      <x:c r="K54" s="1"/>
      <x:c r="L54" s="1"/>
    </x:row>
    <x:row r="55" ht="22" customHeight="1">
      <x:c r="A55" s="1"/>
      <x:c r="B55" s="1"/>
      <x:c r="C55" s="1"/>
      <x:c r="D55" s="4"/>
      <x:c r="E55" s="4"/>
      <x:c r="F55" s="4"/>
      <x:c r="G55" s="4"/>
      <x:c r="H55" s="4"/>
      <x:c r="I55" s="4"/>
      <x:c r="J55" s="1"/>
      <x:c r="K55" s="1"/>
      <x:c r="L55" s="1"/>
    </x:row>
    <x:row r="56" ht="22" customHeight="1">
      <x:c r="A56" s="1"/>
      <x:c r="B56" s="1"/>
      <x:c r="C56" s="1"/>
      <x:c r="D56" s="4"/>
      <x:c r="E56" s="4"/>
      <x:c r="F56" s="4"/>
      <x:c r="G56" s="4"/>
      <x:c r="H56" s="4"/>
      <x:c r="I56" s="4"/>
      <x:c r="J56" s="1"/>
      <x:c r="K56" s="1"/>
      <x:c r="L56" s="1"/>
    </x:row>
    <x:row r="57" ht="22" customHeight="1">
      <x:c r="A57" s="1"/>
      <x:c r="B57" s="1"/>
      <x:c r="C57" s="1"/>
      <x:c r="D57" s="4"/>
      <x:c r="E57" s="4"/>
      <x:c r="F57" s="4"/>
      <x:c r="G57" s="4"/>
      <x:c r="H57" s="4"/>
      <x:c r="I57" s="4"/>
      <x:c r="J57" s="1"/>
      <x:c r="K57" s="1"/>
      <x:c r="L57" s="1"/>
    </x:row>
    <x:row r="58" ht="22" customHeight="1">
      <x:c r="A58" s="1"/>
      <x:c r="B58" s="1"/>
      <x:c r="C58" s="1"/>
      <x:c r="D58" s="4"/>
      <x:c r="E58" s="4"/>
      <x:c r="F58" s="4"/>
      <x:c r="G58" s="4"/>
      <x:c r="H58" s="4"/>
      <x:c r="I58" s="4"/>
      <x:c r="J58" s="1"/>
      <x:c r="K58" s="1"/>
      <x:c r="L58" s="1"/>
    </x:row>
    <x:row r="59" ht="22" customHeight="1">
      <x:c r="A59" s="1"/>
      <x:c r="B59" s="1"/>
      <x:c r="C59" s="1"/>
      <x:c r="D59" s="4"/>
      <x:c r="E59" s="4"/>
      <x:c r="F59" s="4"/>
      <x:c r="G59" s="4"/>
      <x:c r="H59" s="4"/>
      <x:c r="I59" s="4"/>
      <x:c r="J59" s="1"/>
      <x:c r="K59" s="1"/>
      <x:c r="L59" s="1"/>
    </x:row>
    <x:row r="60" ht="22" customHeight="1">
      <x:c r="A60" s="1"/>
      <x:c r="B60" s="1"/>
      <x:c r="C60" s="1"/>
      <x:c r="D60" s="4"/>
      <x:c r="E60" s="4"/>
      <x:c r="F60" s="4"/>
      <x:c r="G60" s="4"/>
      <x:c r="H60" s="4"/>
      <x:c r="I60" s="4"/>
      <x:c r="J60" s="1"/>
      <x:c r="K60" s="1"/>
      <x:c r="L60" s="1"/>
    </x:row>
    <x:row r="61" ht="22" customHeight="1">
      <x:c r="A61" s="1"/>
      <x:c r="B61" s="1"/>
      <x:c r="C61" s="1"/>
      <x:c r="D61" s="4"/>
      <x:c r="E61" s="4"/>
      <x:c r="F61" s="4"/>
      <x:c r="G61" s="4"/>
      <x:c r="H61" s="4"/>
      <x:c r="I61" s="4"/>
      <x:c r="J61" s="1"/>
      <x:c r="K61" s="1"/>
      <x:c r="L61" s="1"/>
    </x:row>
    <x:row r="62" ht="22" customHeight="1">
      <x:c r="A62" s="1"/>
      <x:c r="B62" s="1"/>
      <x:c r="C62" s="1"/>
      <x:c r="D62" s="4"/>
      <x:c r="E62" s="4"/>
      <x:c r="F62" s="4"/>
      <x:c r="G62" s="4"/>
      <x:c r="H62" s="4"/>
      <x:c r="I62" s="4"/>
      <x:c r="J62" s="1"/>
      <x:c r="K62" s="1"/>
      <x:c r="L62" s="1"/>
    </x:row>
    <x:row r="63" ht="22" customHeight="1">
      <x:c r="A63" s="1"/>
      <x:c r="B63" s="1"/>
      <x:c r="C63" s="1"/>
      <x:c r="D63" s="4"/>
      <x:c r="E63" s="4"/>
      <x:c r="F63" s="4"/>
      <x:c r="G63" s="4"/>
      <x:c r="H63" s="4"/>
      <x:c r="I63" s="4"/>
      <x:c r="J63" s="1"/>
      <x:c r="K63" s="1"/>
      <x:c r="L63" s="1"/>
    </x:row>
    <x:row r="64" ht="22" customHeight="1">
      <x:c r="A64" s="1"/>
      <x:c r="B64" s="1"/>
      <x:c r="C64" s="1"/>
      <x:c r="D64" s="4"/>
      <x:c r="E64" s="4"/>
      <x:c r="F64" s="4"/>
      <x:c r="G64" s="4"/>
      <x:c r="H64" s="4"/>
      <x:c r="I64" s="4"/>
      <x:c r="J64" s="1"/>
      <x:c r="K64" s="1"/>
      <x:c r="L64" s="1"/>
    </x:row>
    <x:row r="65" ht="22" customHeight="1">
      <x:c r="A65" s="1"/>
      <x:c r="B65" s="1"/>
      <x:c r="C65" s="1"/>
      <x:c r="D65" s="4"/>
      <x:c r="E65" s="4"/>
      <x:c r="F65" s="4"/>
      <x:c r="G65" s="4"/>
      <x:c r="H65" s="4"/>
      <x:c r="I65" s="4"/>
      <x:c r="J65" s="1"/>
      <x:c r="K65" s="1"/>
      <x:c r="L65" s="1"/>
    </x:row>
    <x:row r="66" ht="22" customHeight="1">
      <x:c r="A66" s="1"/>
      <x:c r="B66" s="1"/>
      <x:c r="C66" s="1"/>
      <x:c r="D66" s="4"/>
      <x:c r="E66" s="4"/>
      <x:c r="F66" s="4"/>
      <x:c r="G66" s="4"/>
      <x:c r="H66" s="4"/>
      <x:c r="I66" s="4"/>
      <x:c r="J66" s="1"/>
      <x:c r="K66" s="1"/>
      <x:c r="L66" s="1"/>
    </x:row>
    <x:row r="67" ht="22" customHeight="1">
      <x:c r="A67" s="1"/>
      <x:c r="B67" s="1"/>
      <x:c r="C67" s="1"/>
      <x:c r="D67" s="4"/>
      <x:c r="E67" s="4"/>
      <x:c r="F67" s="4"/>
      <x:c r="G67" s="4"/>
      <x:c r="H67" s="4"/>
      <x:c r="I67" s="4"/>
      <x:c r="J67" s="1"/>
      <x:c r="K67" s="1"/>
      <x:c r="L67" s="1"/>
    </x:row>
    <x:row r="68" ht="22" customHeight="1">
      <x:c r="A68" s="1"/>
      <x:c r="B68" s="1"/>
      <x:c r="C68" s="1"/>
      <x:c r="D68" s="4"/>
      <x:c r="E68" s="4"/>
      <x:c r="F68" s="4"/>
      <x:c r="G68" s="4"/>
      <x:c r="H68" s="4"/>
      <x:c r="I68" s="4"/>
      <x:c r="J68" s="1"/>
      <x:c r="K68" s="1"/>
      <x:c r="L68" s="1"/>
    </x:row>
    <x:row r="69" ht="22" customHeight="1">
      <x:c r="A69" s="1"/>
      <x:c r="B69" s="1"/>
      <x:c r="C69" s="1"/>
      <x:c r="D69" s="4"/>
      <x:c r="E69" s="4"/>
      <x:c r="F69" s="4"/>
      <x:c r="G69" s="4"/>
      <x:c r="H69" s="4"/>
      <x:c r="I69" s="4"/>
      <x:c r="J69" s="1"/>
      <x:c r="K69" s="1"/>
      <x:c r="L69" s="1"/>
    </x:row>
    <x:row r="70" ht="22" customHeight="1">
      <x:c r="A70" s="1"/>
      <x:c r="B70" s="1"/>
      <x:c r="C70" s="1"/>
      <x:c r="D70" s="4"/>
      <x:c r="E70" s="4"/>
      <x:c r="F70" s="4"/>
      <x:c r="G70" s="4"/>
      <x:c r="H70" s="4"/>
      <x:c r="I70" s="4"/>
      <x:c r="J70" s="1"/>
      <x:c r="K70" s="1"/>
      <x:c r="L70" s="1"/>
    </x:row>
    <x:row r="71" ht="22" customHeight="1">
      <x:c r="A71" s="1"/>
      <x:c r="B71" s="1"/>
      <x:c r="C71" s="1"/>
      <x:c r="D71" s="4"/>
      <x:c r="E71" s="4"/>
      <x:c r="F71" s="4"/>
      <x:c r="G71" s="4"/>
      <x:c r="H71" s="4"/>
      <x:c r="I71" s="4"/>
      <x:c r="J71" s="1"/>
      <x:c r="K71" s="1"/>
      <x:c r="L71" s="1"/>
    </x:row>
    <x:row r="72" ht="22" customHeight="1">
      <x:c r="A72" s="1"/>
      <x:c r="B72" s="1"/>
      <x:c r="C72" s="1"/>
      <x:c r="D72" s="4"/>
      <x:c r="E72" s="4"/>
      <x:c r="F72" s="4"/>
      <x:c r="G72" s="4"/>
      <x:c r="H72" s="4"/>
      <x:c r="I72" s="4"/>
      <x:c r="J72" s="1"/>
      <x:c r="K72" s="1"/>
      <x:c r="L72" s="1"/>
    </x:row>
    <x:row r="73" ht="22" customHeight="1">
      <x:c r="A73" s="1"/>
      <x:c r="B73" s="1"/>
      <x:c r="C73" s="1"/>
      <x:c r="D73" s="4"/>
      <x:c r="E73" s="4"/>
      <x:c r="F73" s="4"/>
      <x:c r="G73" s="4"/>
      <x:c r="H73" s="4"/>
      <x:c r="I73" s="4"/>
      <x:c r="J73" s="1"/>
      <x:c r="K73" s="1"/>
      <x:c r="L73" s="1"/>
    </x:row>
    <x:row r="74" ht="22" customHeight="1">
      <x:c r="A74" s="1"/>
      <x:c r="B74" s="1"/>
      <x:c r="C74" s="1"/>
      <x:c r="D74" s="4"/>
      <x:c r="E74" s="4"/>
      <x:c r="F74" s="4"/>
      <x:c r="G74" s="4"/>
      <x:c r="H74" s="4"/>
      <x:c r="I74" s="4"/>
      <x:c r="J74" s="1"/>
      <x:c r="K74" s="1"/>
      <x:c r="L74" s="1"/>
    </x:row>
    <x:row r="75" ht="22" customHeight="1">
      <x:c r="A75" s="1"/>
      <x:c r="B75" s="1"/>
      <x:c r="C75" s="1"/>
      <x:c r="D75" s="4"/>
      <x:c r="E75" s="4"/>
      <x:c r="F75" s="4"/>
      <x:c r="G75" s="4"/>
      <x:c r="H75" s="4"/>
      <x:c r="I75" s="4"/>
      <x:c r="J75" s="1"/>
      <x:c r="K75" s="1"/>
      <x:c r="L75" s="1"/>
    </x:row>
    <x:row r="76" ht="22" customHeight="1">
      <x:c r="A76" s="1"/>
      <x:c r="B76" s="1"/>
      <x:c r="C76" s="1"/>
      <x:c r="D76" s="4"/>
      <x:c r="E76" s="4"/>
      <x:c r="F76" s="4"/>
      <x:c r="G76" s="4"/>
      <x:c r="H76" s="4"/>
      <x:c r="I76" s="4"/>
      <x:c r="J76" s="1"/>
      <x:c r="K76" s="1"/>
      <x:c r="L76" s="1"/>
    </x:row>
    <x:row r="77" ht="22" customHeight="1">
      <x:c r="A77" s="1"/>
      <x:c r="B77" s="1"/>
      <x:c r="C77" s="1"/>
      <x:c r="D77" s="4"/>
      <x:c r="E77" s="4"/>
      <x:c r="F77" s="4"/>
      <x:c r="G77" s="4"/>
      <x:c r="H77" s="4"/>
      <x:c r="I77" s="4"/>
      <x:c r="J77" s="1"/>
      <x:c r="K77" s="1"/>
      <x:c r="L77" s="1"/>
    </x:row>
    <x:row r="78" ht="22" customHeight="1">
      <x:c r="A78" s="1"/>
      <x:c r="B78" s="1"/>
      <x:c r="C78" s="1"/>
      <x:c r="D78" s="4"/>
      <x:c r="E78" s="4"/>
      <x:c r="F78" s="4"/>
      <x:c r="G78" s="4"/>
      <x:c r="H78" s="4"/>
      <x:c r="I78" s="4"/>
      <x:c r="J78" s="1"/>
      <x:c r="K78" s="1"/>
      <x:c r="L78" s="1"/>
    </x:row>
    <x:row r="79" ht="22" customHeight="1">
      <x:c r="A79" s="1"/>
      <x:c r="B79" s="1"/>
      <x:c r="C79" s="1"/>
      <x:c r="D79" s="4"/>
      <x:c r="E79" s="4"/>
      <x:c r="F79" s="4"/>
      <x:c r="G79" s="4"/>
      <x:c r="H79" s="4"/>
      <x:c r="I79" s="4"/>
      <x:c r="J79" s="1"/>
      <x:c r="K79" s="1"/>
      <x:c r="L79" s="1"/>
    </x:row>
    <x:row r="80" ht="22" customHeight="1">
      <x:c r="A80" s="1"/>
      <x:c r="B80" s="1"/>
      <x:c r="C80" s="1"/>
      <x:c r="D80" s="4"/>
      <x:c r="E80" s="4"/>
      <x:c r="F80" s="4"/>
      <x:c r="G80" s="4"/>
      <x:c r="H80" s="4"/>
      <x:c r="I80" s="4"/>
      <x:c r="J80" s="1"/>
      <x:c r="K80" s="1"/>
      <x:c r="L80" s="1"/>
    </x:row>
    <x:row r="81" ht="22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</x:row>
    <x:row r="82" ht="22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</x:row>
    <x:row r="83" ht="22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</x:row>
    <x:row r="84" ht="22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</x:row>
    <x:row r="85" ht="22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43" hidden="0" customWidth="1"/>
    <x:col min="4" max="4" width="20" hidden="0" customWidth="1"/>
    <x:col min="5" max="5" width="17" hidden="0" customWidth="1"/>
    <x:col min="6" max="6" width="65" hidden="0" customWidth="1"/>
    <x:col min="7" max="7" width="17" hidden="0" customWidth="1"/>
    <x:col min="8" max="8" width="17" hidden="0" customWidth="1"/>
    <x:col min="9" max="9" width="17" hidden="0" customWidth="1"/>
    <x:col min="10" max="10" width="26" hidden="0" customWidth="1"/>
    <x:col min="11" max="11" width="26" hidden="0" customWidth="1"/>
    <x:col min="12" max="12" width="26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2" customHeight="1">
      <x:c r="A2" s="1"/>
      <x:c r="B2" s="1"/>
      <x:c r="C2" s="2" t="str">
        <x:v>Diagnostics</x:v>
      </x:c>
      <x:c r="D2" s="2"/>
      <x:c r="E2" s="2"/>
      <x:c r="F2" s="2"/>
      <x:c r="G2" s="2"/>
      <x:c r="H2" s="2"/>
      <x:c r="I2" s="2"/>
      <x:c r="J2" s="1"/>
      <x:c r="K2" s="1"/>
      <x:c r="L2" s="1"/>
    </x:row>
    <x:row r="3" ht="22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22" customHeight="1">
      <x:c r="A4" s="1"/>
      <x:c r="B4" s="1"/>
      <x:c r="C4" s="1" t="str">
        <x:v>Case selected</x:v>
      </x:c>
      <x:c r="D4" s="3" t="str">
        <x:f>Inputs!D3</x:f>
        <x:v>Base</x:v>
      </x:c>
      <x:c r="E4" s="1"/>
      <x:c r="F4" s="1"/>
      <x:c r="G4" s="1"/>
      <x:c r="H4" s="1"/>
      <x:c r="I4" s="1"/>
      <x:c r="J4" s="1"/>
      <x:c r="K4" s="1"/>
      <x:c r="L4" s="1"/>
    </x:row>
    <x:row r="5" ht="22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 ht="22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</x:row>
    <x:row r="7" ht="22" customHeight="1">
      <x:c r="A7" s="1"/>
      <x:c r="B7" s="1"/>
      <x:c r="C7" s="16" t="str">
        <x:v>Economic assumption review</x:v>
      </x:c>
      <x:c r="D7" s="16" t="str">
        <x:v>Active case</x:v>
      </x:c>
      <x:c r="E7" s="1"/>
      <x:c r="F7" s="1"/>
      <x:c r="G7" s="1"/>
      <x:c r="H7" s="1"/>
      <x:c r="I7" s="1"/>
      <x:c r="J7" s="1"/>
      <x:c r="K7" s="1"/>
      <x:c r="L7" s="1"/>
    </x:row>
    <x:row r="8" ht="29" customHeight="1">
      <x:c r="A8" s="1"/>
      <x:c r="B8" s="1"/>
      <x:c r="C8" s="1" t="str">
        <x:v>2031 reinvestment / NOPAT</x:v>
      </x:c>
      <x:c r="D8" s="11" t="n">
        <x:f>(Forecast!I15-Forecast!I14+Forecast!I18)/Forecast!I13</x:f>
        <x:v>0.1109751536644983</x:v>
      </x:c>
      <x:c r="E8" s="4"/>
      <x:c r="F8" s="20" t="str">
        <x:v>Conditional stresses; main Base inputs remain selected.</x:v>
      </x:c>
      <x:c r="G8" s="4"/>
      <x:c r="H8" s="4"/>
      <x:c r="I8" s="4"/>
      <x:c r="J8" s="1"/>
      <x:c r="K8" s="1"/>
      <x:c r="L8" s="1"/>
    </x:row>
    <x:row r="9" ht="29" customHeight="1">
      <x:c r="A9" s="1"/>
      <x:c r="B9" s="1"/>
      <x:c r="C9" s="1" t="str">
        <x:v>2032 reinvestment / NOPAT</x:v>
      </x:c>
      <x:c r="D9" s="11" t="n">
        <x:f>Inputs!$D$11/Inputs!$D$12</x:f>
        <x:v>0.14285714285714285</x:v>
      </x:c>
      <x:c r="E9" s="4"/>
      <x:c r="F9" s="20"/>
      <x:c r="G9" s="4"/>
      <x:c r="H9" s="4"/>
      <x:c r="I9" s="4"/>
      <x:c r="J9" s="1"/>
      <x:c r="K9" s="1"/>
      <x:c r="L9" s="1"/>
    </x:row>
    <x:row r="10" ht="29" customHeight="1">
      <x:c r="A10" s="1"/>
      <x:c r="B10" s="1"/>
      <x:c r="C10" s="1" t="str">
        <x:v>FCFF 2032 / 2031 - 1</x:v>
      </x:c>
      <x:c r="D10" s="11" t="n">
        <x:f>DCF!D17/Forecast!I19-1</x:f>
        <x:v>-0.01657898776456146</x:v>
      </x:c>
      <x:c r="E10" s="4"/>
      <x:c r="F10" s="20" t="str">
        <x:v>2032 investment transition can change FCFF discontinuously.</x:v>
      </x:c>
      <x:c r="G10" s="4"/>
      <x:c r="H10" s="4"/>
      <x:c r="I10" s="4"/>
      <x:c r="J10" s="1"/>
      <x:c r="K10" s="1"/>
      <x:c r="L10" s="1"/>
    </x:row>
    <x:row r="11" ht="29" customHeight="1">
      <x:c r="A11" s="1"/>
      <x:c r="B11" s="1"/>
      <x:c r="C11" s="1" t="str">
        <x:v>2031 parent ROE</x:v>
      </x:c>
      <x:c r="D11" s="11" t="n">
        <x:f>RIM!H9/RIM!H8</x:f>
        <x:v>0.15402457673828426</x:v>
      </x:c>
      <x:c r="E11" s="4"/>
      <x:c r="F11" s="20"/>
      <x:c r="G11" s="4"/>
      <x:c r="H11" s="4"/>
      <x:c r="I11" s="4"/>
      <x:c r="J11" s="1"/>
      <x:c r="K11" s="1"/>
      <x:c r="L11" s="1"/>
    </x:row>
    <x:row r="12" ht="29" customHeight="1">
      <x:c r="A12" s="1"/>
      <x:c r="B12" s="1"/>
      <x:c r="C12" s="1" t="str">
        <x:v>2032 assumed parent ROE</x:v>
      </x:c>
      <x:c r="D12" s="11" t="n">
        <x:f>Inputs!$D$13</x:f>
        <x:v>0.13</x:v>
      </x:c>
      <x:c r="E12" s="4"/>
      <x:c r="F12" s="20"/>
      <x:c r="G12" s="4"/>
      <x:c r="H12" s="4"/>
      <x:c r="I12" s="4"/>
      <x:c r="J12" s="1"/>
      <x:c r="K12" s="1"/>
      <x:c r="L12" s="1"/>
    </x:row>
    <x:row r="13" ht="29" customHeight="1">
      <x:c r="A13" s="1"/>
      <x:c r="B13" s="1"/>
      <x:c r="C13" s="1" t="str">
        <x:v>2031 net cash proxy capped at book</x:v>
      </x:c>
      <x:c r="D13" s="9" t="n">
        <x:f>MIN(MAX(Forecast!I26,0),Forecast!I25)</x:f>
        <x:v>670.0249282058206</x:v>
      </x:c>
      <x:c r="E13" s="4"/>
      <x:c r="F13" s="20" t="str">
        <x:v>Net cash proxy is not an audited operating-equity split.</x:v>
      </x:c>
      <x:c r="G13" s="4"/>
      <x:c r="H13" s="4"/>
      <x:c r="I13" s="4"/>
      <x:c r="J13" s="1"/>
      <x:c r="K13" s="1"/>
      <x:c r="L13" s="1"/>
    </x:row>
    <x:row r="14" ht="29" customHeight="1">
      <x:c r="A14" s="1"/>
      <x:c r="B14" s="1"/>
      <x:c r="C14" s="1" t="str">
        <x:v>Cash proxy / parent book</x:v>
      </x:c>
      <x:c r="D14" s="11" t="n">
        <x:f>D13/Forecast!I25</x:f>
        <x:v>0.6707383541300734</x:v>
      </x:c>
      <x:c r="E14" s="4"/>
      <x:c r="F14" s="20"/>
      <x:c r="G14" s="4"/>
      <x:c r="H14" s="4"/>
      <x:c r="I14" s="4"/>
      <x:c r="J14" s="1"/>
      <x:c r="K14" s="1"/>
      <x:c r="L14" s="1"/>
    </x:row>
    <x:row r="15" ht="29" customHeight="1">
      <x:c r="A15" s="1"/>
      <x:c r="B15" s="1"/>
      <x:c r="C15" s="1" t="str">
        <x:v>Cash split: terminal NI</x:v>
      </x:c>
      <x:c r="D15" s="9" t="n">
        <x:f>(Forecast!I25-D13)*Inputs!$D$13+D13*Inputs!$D$20</x:f>
        <x:v>59.50910899315055</x:v>
      </x:c>
      <x:c r="E15" s="4"/>
      <x:c r="F15" s="20"/>
      <x:c r="G15" s="4"/>
      <x:c r="H15" s="4"/>
      <x:c r="I15" s="4"/>
      <x:c r="J15" s="1"/>
      <x:c r="K15" s="1"/>
      <x:c r="L15" s="1"/>
    </x:row>
    <x:row r="16" ht="29" customHeight="1">
      <x:c r="A16" s="1"/>
      <x:c r="B16" s="1"/>
      <x:c r="C16" s="1" t="str">
        <x:v>Cash split: terminal ROE</x:v>
      </x:c>
      <x:c r="D16" s="11" t="n">
        <x:f>D15/Forecast!I25</x:f>
        <x:v>0.059572472816342294</x:v>
      </x:c>
      <x:c r="E16" s="4"/>
      <x:c r="F16" s="20"/>
      <x:c r="G16" s="4"/>
      <x:c r="H16" s="4"/>
      <x:c r="I16" s="4"/>
      <x:c r="J16" s="1"/>
      <x:c r="K16" s="1"/>
      <x:c r="L16" s="1"/>
    </x:row>
    <x:row r="17" ht="29" customHeight="1">
      <x:c r="A17" s="1"/>
      <x:c r="B17" s="1"/>
      <x:c r="C17" s="1" t="str">
        <x:v>RIM: no terminal excess ROE</x:v>
      </x:c>
      <x:c r="D17" s="9" t="n">
        <x:f>(RIM!D18+RIM!D19)*1000/'Cash Equity Bridge'!D23</x:f>
        <x:v>68788.88764734764</x:v>
      </x:c>
      <x:c r="E17" s="4"/>
      <x:c r="F17" s="20" t="str">
        <x:v>No excess ROE after the explicit forecast.</x:v>
      </x:c>
      <x:c r="G17" s="4"/>
      <x:c r="H17" s="4"/>
      <x:c r="I17" s="4"/>
      <x:c r="J17" s="1"/>
      <x:c r="K17" s="1"/>
      <x:c r="L17" s="1"/>
    </x:row>
    <x:row r="18" ht="29" customHeight="1">
      <x:c r="A18" s="1"/>
      <x:c r="B18" s="1"/>
      <x:c r="C18" s="1" t="str">
        <x:v>RIM: cash split stress</x:v>
      </x:c>
      <x:c r="D18" s="9" t="n">
        <x:f>(RIM!D18+RIM!D19+(D15-Inputs!$D$10*Forecast!I25)/(Inputs!$D$10-Inputs!$D$11)/(1+Inputs!$D$10)^5)*1000/'Cash Equity Bridge'!D23</x:f>
        <x:v>39801.606413810674</x:v>
      </x:c>
      <x:c r="E18" s="4"/>
      <x:c r="F18" s="20" t="str">
        <x:v>Cash yield separated from residual-book ROE.</x:v>
      </x:c>
      <x:c r="G18" s="4"/>
      <x:c r="H18" s="4"/>
      <x:c r="I18" s="4"/>
      <x:c r="J18" s="1"/>
      <x:c r="K18" s="1"/>
      <x:c r="L18" s="1"/>
    </x:row>
    <x:row r="19" ht="29" customHeight="1">
      <x:c r="A19" s="1"/>
      <x:c r="B19" s="1"/>
      <x:c r="C19" s="1" t="str">
        <x:v>DCF: terminal ROIC = WACC</x:v>
      </x:c>
      <x:c r="D19" s="9" t="n">
        <x:f>(DCF!D15+DCF!D16/Inputs!$D$9/(1+Inputs!$D$9)^5+DCF!D21+DCF!D22-DCF!D23)*1000/DCF!D25</x:f>
        <x:v>134086.60670998791</x:v>
      </x:c>
      <x:c r="E19" s="4"/>
      <x:c r="F19" s="20"/>
      <x:c r="G19" s="4"/>
      <x:c r="H19" s="4"/>
      <x:c r="I19" s="4"/>
      <x:c r="J19" s="1"/>
      <x:c r="K19" s="1"/>
      <x:c r="L19" s="1"/>
    </x:row>
    <x:row r="20" ht="29" customHeight="1">
      <x:c r="A20" s="1"/>
      <x:c r="B20" s="1"/>
      <x:c r="C20" s="1" t="str">
        <x:v>DCF: excess ROIC value / share</x:v>
      </x:c>
      <x:c r="D20" s="9" t="n">
        <x:f>DCF!D26-D19</x:f>
        <x:v>5059.611886959319</x:v>
      </x:c>
      <x:c r="E20" s="4"/>
      <x:c r="F20" s="20"/>
      <x:c r="G20" s="4"/>
      <x:c r="H20" s="4"/>
      <x:c r="I20" s="4"/>
      <x:c r="J20" s="1"/>
      <x:c r="K20" s="1"/>
      <x:c r="L20" s="1"/>
    </x:row>
    <x:row r="21" ht="29" customHeight="1">
      <x:c r="A21" s="1"/>
      <x:c r="B21" s="1"/>
      <x:c r="C21" s="1" t="str">
        <x:v>Price hurdle: terminal FCFF bn</x:v>
      </x:c>
      <x:c r="D21" s="9" t="n">
        <x:f>(Inputs!$D$25*DCF!D25/1000-DCF!D21-DCF!D22+DCF!D23-DCF!D15)*(1+Inputs!$D$9)^5*(Inputs!$D$9-Inputs!$D$11)</x:f>
        <x:v>251.70082767920937</x:v>
      </x:c>
      <x:c r="E21" s="4"/>
      <x:c r="F21" s="20" t="str">
        <x:v>Reference price held unchanged at 2026 year-end.</x:v>
      </x:c>
      <x:c r="G21" s="4"/>
      <x:c r="H21" s="4"/>
      <x:c r="I21" s="4"/>
      <x:c r="J21" s="1"/>
      <x:c r="K21" s="1"/>
      <x:c r="L21" s="1"/>
    </x:row>
    <x:row r="22" ht="29" customHeight="1">
      <x:c r="A22" s="1"/>
      <x:c r="B22" s="1"/>
      <x:c r="C22" s="1" t="str">
        <x:v>Price hurdle: terminal OP margin</x:v>
      </x:c>
      <x:c r="D22" s="11" t="n">
        <x:f>D21/(Forecast!I8*(1+Inputs!$D$11)*(1-Inputs!$D$19)*(1-Inputs!$D$11/Inputs!$D$12))</x:f>
        <x:v>0.6907563805747203</x:v>
      </x:c>
      <x:c r="E22" s="4"/>
      <x:c r="F22" s="20"/>
      <x:c r="G22" s="4"/>
      <x:c r="H22" s="4"/>
      <x:c r="I22" s="4"/>
      <x:c r="J22" s="1"/>
      <x:c r="K22" s="1"/>
      <x:c r="L22" s="1"/>
    </x:row>
    <x:row r="23" ht="29" customHeight="1">
      <x:c r="A23" s="1"/>
      <x:c r="B23" s="1"/>
      <x:c r="C23" s="1" t="str">
        <x:v>Price hurdle: PER normal margin</x:v>
      </x:c>
      <x:c r="D23" s="11" t="n">
        <x:f>(Inputs!$D$25/PER!D38*DCF!D25/1000-DCF!D21*Inputs!$D$20)/(Forecast!E8*(1-Inputs!$D$19)*Forecast!E27)</x:f>
        <x:v>0.7456588492009669</x:v>
      </x:c>
      <x:c r="E23" s="4"/>
      <x:c r="F23" s="20" t="str">
        <x:v>Theoretical PER is fixed; not empirical peer PER.</x:v>
      </x:c>
      <x:c r="G23" s="4"/>
      <x:c r="H23" s="4"/>
      <x:c r="I23" s="4"/>
      <x:c r="J23" s="1"/>
      <x:c r="K23" s="1"/>
      <x:c r="L23" s="1"/>
    </x:row>
    <x:row r="24" ht="29" customHeight="1">
      <x:c r="A24" s="1"/>
      <x:c r="B24" s="1"/>
      <x:c r="C24" s="1" t="str">
        <x:v>Margin reduction (percentage pts)</x:v>
      </x:c>
      <x:c r="D24" s="11" t="n">
        <x:f>Inputs!$D$60</x:f>
        <x:v>0.02</x:v>
      </x:c>
      <x:c r="E24" s="4"/>
      <x:c r="F24" s="20"/>
      <x:c r="G24" s="4"/>
      <x:c r="H24" s="4"/>
      <x:c r="I24" s="4"/>
      <x:c r="J24" s="1"/>
      <x:c r="K24" s="1"/>
      <x:c r="L24" s="1"/>
    </x:row>
    <x:row r="25" ht="29" customHeight="1">
      <x:c r="A25" s="1"/>
      <x:c r="B25" s="1"/>
      <x:c r="C25" s="1" t="str">
        <x:v>Additional explicit CAPEX</x:v>
      </x:c>
      <x:c r="D25" s="11" t="n">
        <x:f>Inputs!$D$61</x:f>
        <x:v>0.2</x:v>
      </x:c>
      <x:c r="E25" s="4"/>
      <x:c r="F25" s="20"/>
      <x:c r="G25" s="4"/>
      <x:c r="H25" s="4"/>
      <x:c r="I25" s="4"/>
      <x:c r="J25" s="1"/>
      <x:c r="K25" s="1"/>
      <x:c r="L25" s="1"/>
    </x:row>
    <x:row r="26" ht="29" customHeight="1">
      <x:c r="A26" s="1"/>
      <x:c r="B26" s="1"/>
      <x:c r="C26" s="1"/>
      <x:c r="D26" s="4"/>
      <x:c r="E26" s="4"/>
      <x:c r="F26" s="20"/>
      <x:c r="G26" s="4"/>
      <x:c r="H26" s="4"/>
      <x:c r="I26" s="4"/>
      <x:c r="J26" s="1"/>
      <x:c r="K26" s="1"/>
      <x:c r="L26" s="1"/>
    </x:row>
    <x:row r="27" ht="29" customHeight="1">
      <x:c r="A27" s="1"/>
      <x:c r="B27" s="1"/>
      <x:c r="C27" s="1" t="str">
        <x:v>DCF: margin reduction stress</x:v>
      </x:c>
      <x:c r="D27" s="9" t="n">
        <x:f>DCF!D26-(Forecast!E8/(1+Inputs!$D$9)^1+Forecast!F8/(1+Inputs!$D$9)^2+Forecast!G8/(1+Inputs!$D$9)^3+Forecast!H8/(1+Inputs!$D$9)^4+Forecast!I8/(1+Inputs!$D$9)^5+Forecast!I8*(1+Inputs!$D$11)*(1-Inputs!$D$11/Inputs!$D$12)/(Inputs!$D$9-Inputs!$D$11)/(1+Inputs!$D$9)^5)*D24*(1-Inputs!$D$19)*1000/DCF!D25</x:f>
        <x:v>131605.31442891134</x:v>
      </x:c>
      <x:c r="E27" s="4"/>
      <x:c r="F27" s="20"/>
      <x:c r="G27" s="4"/>
      <x:c r="H27" s="4"/>
      <x:c r="I27" s="4"/>
      <x:c r="J27" s="1"/>
      <x:c r="K27" s="1"/>
      <x:c r="L27" s="1"/>
    </x:row>
    <x:row r="28" ht="29" customHeight="1">
      <x:c r="A28" s="1"/>
      <x:c r="B28" s="1"/>
      <x:c r="C28" s="1" t="str">
        <x:v>DCF: additional CAPEX stress</x:v>
      </x:c>
      <x:c r="D28" s="9" t="n">
        <x:f>DCF!D26-(Forecast!E15/(1+Inputs!$D$9)^1+Forecast!F15/(1+Inputs!$D$9)^2+Forecast!G15/(1+Inputs!$D$9)^3+Forecast!H15/(1+Inputs!$D$9)^4+Forecast!I15/(1+Inputs!$D$9)^5)*D25*1000/DCF!D25</x:f>
        <x:v>137544.3578473263</x:v>
      </x:c>
      <x:c r="E28" s="4"/>
      <x:c r="F28" s="20" t="str">
        <x:v>No benefit to earnings, D&amp;A or terminal from extra CAPEX.</x:v>
      </x:c>
      <x:c r="G28" s="4"/>
      <x:c r="H28" s="4"/>
      <x:c r="I28" s="4"/>
      <x:c r="J28" s="1"/>
      <x:c r="K28" s="1"/>
      <x:c r="L28" s="1"/>
    </x:row>
    <x:row r="29" ht="29" customHeight="1">
      <x:c r="A29" s="1"/>
      <x:c r="B29" s="1"/>
      <x:c r="C29" s="1"/>
      <x:c r="D29" s="4"/>
      <x:c r="E29" s="4"/>
      <x:c r="F29" s="20"/>
      <x:c r="G29" s="4"/>
      <x:c r="H29" s="4"/>
      <x:c r="I29" s="4"/>
      <x:c r="J29" s="1"/>
      <x:c r="K29" s="1"/>
      <x:c r="L29" s="1"/>
    </x:row>
    <x:row r="30" ht="29" customHeight="1">
      <x:c r="A30" s="1"/>
      <x:c r="B30" s="1"/>
      <x:c r="C30" s="1" t="str">
        <x:v>DCF: explicit FCFF / share</x:v>
      </x:c>
      <x:c r="D30" s="9" t="n">
        <x:f>DCF!D15*1000/DCF!D25</x:f>
        <x:v>33667.36267293561</x:v>
      </x:c>
      <x:c r="E30" s="4"/>
      <x:c r="F30" s="20"/>
      <x:c r="G30" s="4"/>
      <x:c r="H30" s="4"/>
      <x:c r="I30" s="4"/>
      <x:c r="J30" s="1"/>
      <x:c r="K30" s="1"/>
      <x:c r="L30" s="1"/>
    </x:row>
    <x:row r="31" ht="29" customHeight="1">
      <x:c r="A31" s="1"/>
      <x:c r="B31" s="1"/>
      <x:c r="C31" s="1" t="str">
        <x:v>DCF: terminal value / share</x:v>
      </x:c>
      <x:c r="D31" s="9" t="n">
        <x:f>DCF!D19*1000/DCF!D25</x:f>
        <x:v>75894.17830438977</x:v>
      </x:c>
      <x:c r="E31" s="4"/>
      <x:c r="F31" s="20"/>
      <x:c r="G31" s="4"/>
      <x:c r="H31" s="4"/>
      <x:c r="I31" s="4"/>
      <x:c r="J31" s="1"/>
      <x:c r="K31" s="1"/>
      <x:c r="L31" s="1"/>
    </x:row>
    <x:row r="32" ht="29" customHeight="1">
      <x:c r="A32" s="1"/>
      <x:c r="B32" s="1"/>
      <x:c r="C32" s="1" t="str">
        <x:v>DCF: net cash / share</x:v>
      </x:c>
      <x:c r="D32" s="9" t="n">
        <x:f>DCF!D21*1000/DCF!D25</x:f>
        <x:v>29584.677619621863</x:v>
      </x:c>
      <x:c r="E32" s="4"/>
      <x:c r="F32" s="20"/>
      <x:c r="G32" s="4"/>
      <x:c r="H32" s="4"/>
      <x:c r="I32" s="4"/>
      <x:c r="J32" s="1"/>
      <x:c r="K32" s="1"/>
      <x:c r="L32" s="1"/>
    </x:row>
    <x:row r="33" ht="29" customHeight="1">
      <x:c r="A33" s="1"/>
      <x:c r="B33" s="1"/>
      <x:c r="C33" s="1" t="str">
        <x:v>DCF: nonop less NCI / share</x:v>
      </x:c>
      <x:c r="D33" s="9" t="n">
        <x:f>(DCF!D22-DCF!D23)*1000/DCF!D25</x:f>
        <x:v>0</x:v>
      </x:c>
      <x:c r="E33" s="4"/>
      <x:c r="F33" s="20"/>
      <x:c r="G33" s="4"/>
      <x:c r="H33" s="4"/>
      <x:c r="I33" s="4"/>
      <x:c r="J33" s="1"/>
      <x:c r="K33" s="1"/>
      <x:c r="L33" s="1"/>
    </x:row>
    <x:row r="34" ht="29" customHeight="1">
      <x:c r="A34" s="1"/>
      <x:c r="B34" s="1"/>
      <x:c r="C34" s="1" t="str">
        <x:v>PER: terminal PV / total value</x:v>
      </x:c>
      <x:c r="D34" s="11" t="n">
        <x:f>PER!D37/PER!D38</x:f>
        <x:v>0.7453167055481443</x:v>
      </x:c>
      <x:c r="E34" s="4"/>
      <x:c r="F34" s="20"/>
      <x:c r="G34" s="4"/>
      <x:c r="H34" s="4"/>
      <x:c r="I34" s="4"/>
      <x:c r="J34" s="1"/>
      <x:c r="K34" s="1"/>
      <x:c r="L34" s="1"/>
    </x:row>
    <x:row r="35" ht="22" customHeight="1">
      <x:c r="A35" s="1"/>
      <x:c r="B35" s="1"/>
      <x:c r="C35" s="1"/>
      <x:c r="D35" s="4"/>
      <x:c r="E35" s="4"/>
      <x:c r="F35" s="4"/>
      <x:c r="G35" s="4"/>
      <x:c r="H35" s="4"/>
      <x:c r="I35" s="4"/>
      <x:c r="J35" s="1"/>
      <x:c r="K35" s="1"/>
      <x:c r="L35" s="1"/>
    </x:row>
    <x:row r="36" ht="22" customHeight="1">
      <x:c r="A36" s="1"/>
      <x:c r="B36" s="1"/>
      <x:c r="C36" s="1"/>
      <x:c r="D36" s="4"/>
      <x:c r="E36" s="4"/>
      <x:c r="F36" s="4"/>
      <x:c r="G36" s="4"/>
      <x:c r="H36" s="4"/>
      <x:c r="I36" s="4"/>
      <x:c r="J36" s="1"/>
      <x:c r="K36" s="1"/>
      <x:c r="L36" s="1"/>
    </x:row>
    <x:row r="37" ht="22" customHeight="1">
      <x:c r="A37" s="1"/>
      <x:c r="B37" s="1"/>
      <x:c r="C37" s="1" t="str">
        <x:v>PER and RIM share DDM assumptions; not independent market evidence.</x:v>
      </x:c>
      <x:c r="D37" s="4"/>
      <x:c r="E37" s="4"/>
      <x:c r="F37" s="4"/>
      <x:c r="G37" s="4"/>
      <x:c r="H37" s="4"/>
      <x:c r="I37" s="4"/>
      <x:c r="J37" s="1"/>
      <x:c r="K37" s="1"/>
      <x:c r="L37" s="1"/>
    </x:row>
    <x:row r="38" ht="22" customHeight="1">
      <x:c r="A38" s="1"/>
      <x:c r="B38" s="1"/>
      <x:c r="C38" s="1"/>
      <x:c r="D38" s="4"/>
      <x:c r="E38" s="4"/>
      <x:c r="F38" s="4"/>
      <x:c r="G38" s="4"/>
      <x:c r="H38" s="4"/>
      <x:c r="I38" s="4"/>
      <x:c r="J38" s="1"/>
      <x:c r="K38" s="1"/>
      <x:c r="L38" s="1"/>
    </x:row>
    <x:row r="39" ht="22" customHeight="1">
      <x:c r="A39" s="1"/>
      <x:c r="B39" s="1"/>
      <x:c r="C39" s="1"/>
      <x:c r="D39" s="4"/>
      <x:c r="E39" s="4"/>
      <x:c r="F39" s="4"/>
      <x:c r="G39" s="4"/>
      <x:c r="H39" s="4"/>
      <x:c r="I39" s="4"/>
      <x:c r="J39" s="1"/>
      <x:c r="K39" s="1"/>
      <x:c r="L39" s="1"/>
    </x:row>
    <x:row r="40" ht="22" customHeight="1">
      <x:c r="A40" s="1"/>
      <x:c r="B40" s="1"/>
      <x:c r="C40" s="1"/>
      <x:c r="D40" s="4"/>
      <x:c r="E40" s="4"/>
      <x:c r="F40" s="4"/>
      <x:c r="G40" s="4"/>
      <x:c r="H40" s="4"/>
      <x:c r="I40" s="4"/>
      <x:c r="J40" s="1"/>
      <x:c r="K40" s="1"/>
      <x:c r="L40" s="1"/>
    </x:row>
    <x:row r="41" ht="22" customHeight="1">
      <x:c r="A41" s="1"/>
      <x:c r="B41" s="1"/>
      <x:c r="C41" s="1"/>
      <x:c r="D41" s="4"/>
      <x:c r="E41" s="4"/>
      <x:c r="F41" s="4"/>
      <x:c r="G41" s="4"/>
      <x:c r="H41" s="4"/>
      <x:c r="I41" s="4"/>
      <x:c r="J41" s="1"/>
      <x:c r="K41" s="1"/>
      <x:c r="L41" s="1"/>
    </x:row>
    <x:row r="42" ht="22" customHeight="1">
      <x:c r="A42" s="1"/>
      <x:c r="B42" s="1"/>
      <x:c r="C42" s="1"/>
      <x:c r="D42" s="4"/>
      <x:c r="E42" s="4"/>
      <x:c r="F42" s="4"/>
      <x:c r="G42" s="4"/>
      <x:c r="H42" s="4"/>
      <x:c r="I42" s="4"/>
      <x:c r="J42" s="1"/>
      <x:c r="K42" s="1"/>
      <x:c r="L42" s="1"/>
    </x:row>
    <x:row r="43" ht="22" customHeight="1">
      <x:c r="A43" s="1"/>
      <x:c r="B43" s="1"/>
      <x:c r="C43" s="1"/>
      <x:c r="D43" s="4"/>
      <x:c r="E43" s="4"/>
      <x:c r="F43" s="4"/>
      <x:c r="G43" s="4"/>
      <x:c r="H43" s="4"/>
      <x:c r="I43" s="4"/>
      <x:c r="J43" s="1"/>
      <x:c r="K43" s="1"/>
      <x:c r="L43" s="1"/>
    </x:row>
    <x:row r="44" ht="22" customHeight="1">
      <x:c r="A44" s="1"/>
      <x:c r="B44" s="1"/>
      <x:c r="C44" s="1"/>
      <x:c r="D44" s="4"/>
      <x:c r="E44" s="4"/>
      <x:c r="F44" s="4"/>
      <x:c r="G44" s="4"/>
      <x:c r="H44" s="4"/>
      <x:c r="I44" s="4"/>
      <x:c r="J44" s="1"/>
      <x:c r="K44" s="1"/>
      <x:c r="L44" s="1"/>
    </x:row>
    <x:row r="45" ht="22" customHeight="1">
      <x:c r="A45" s="1"/>
      <x:c r="B45" s="1"/>
      <x:c r="C45" s="1"/>
      <x:c r="D45" s="4"/>
      <x:c r="E45" s="4"/>
      <x:c r="F45" s="4"/>
      <x:c r="G45" s="4"/>
      <x:c r="H45" s="4"/>
      <x:c r="I45" s="4"/>
      <x:c r="J45" s="1"/>
      <x:c r="K45" s="1"/>
      <x:c r="L45" s="1"/>
    </x:row>
    <x:row r="46" ht="22" customHeight="1">
      <x:c r="A46" s="1"/>
      <x:c r="B46" s="1"/>
      <x:c r="C46" s="1"/>
      <x:c r="D46" s="4"/>
      <x:c r="E46" s="4"/>
      <x:c r="F46" s="4"/>
      <x:c r="G46" s="4"/>
      <x:c r="H46" s="4"/>
      <x:c r="I46" s="4"/>
      <x:c r="J46" s="1"/>
      <x:c r="K46" s="1"/>
      <x:c r="L46" s="1"/>
    </x:row>
    <x:row r="47" ht="22" customHeight="1">
      <x:c r="A47" s="1"/>
      <x:c r="B47" s="1"/>
      <x:c r="C47" s="1"/>
      <x:c r="D47" s="4"/>
      <x:c r="E47" s="4"/>
      <x:c r="F47" s="4"/>
      <x:c r="G47" s="4"/>
      <x:c r="H47" s="4"/>
      <x:c r="I47" s="4"/>
      <x:c r="J47" s="1"/>
      <x:c r="K47" s="1"/>
      <x:c r="L47" s="1"/>
    </x:row>
    <x:row r="48" ht="22" customHeight="1">
      <x:c r="A48" s="1"/>
      <x:c r="B48" s="1"/>
      <x:c r="C48" s="1"/>
      <x:c r="D48" s="4"/>
      <x:c r="E48" s="4"/>
      <x:c r="F48" s="4"/>
      <x:c r="G48" s="4"/>
      <x:c r="H48" s="4"/>
      <x:c r="I48" s="4"/>
      <x:c r="J48" s="1"/>
      <x:c r="K48" s="1"/>
      <x:c r="L48" s="1"/>
    </x:row>
    <x:row r="49" ht="22" customHeight="1">
      <x:c r="A49" s="1"/>
      <x:c r="B49" s="1"/>
      <x:c r="C49" s="1"/>
      <x:c r="D49" s="4"/>
      <x:c r="E49" s="4"/>
      <x:c r="F49" s="4"/>
      <x:c r="G49" s="4"/>
      <x:c r="H49" s="4"/>
      <x:c r="I49" s="4"/>
      <x:c r="J49" s="1"/>
      <x:c r="K49" s="1"/>
      <x:c r="L49" s="1"/>
    </x:row>
    <x:row r="50" ht="22" customHeight="1">
      <x:c r="A50" s="1"/>
      <x:c r="B50" s="1"/>
      <x:c r="C50" s="1"/>
      <x:c r="D50" s="4"/>
      <x:c r="E50" s="4"/>
      <x:c r="F50" s="4"/>
      <x:c r="G50" s="4"/>
      <x:c r="H50" s="4"/>
      <x:c r="I50" s="4"/>
      <x:c r="J50" s="1"/>
      <x:c r="K50" s="1"/>
      <x:c r="L50" s="1"/>
    </x:row>
    <x:row r="51" ht="22" customHeight="1">
      <x:c r="A51" s="1"/>
      <x:c r="B51" s="1"/>
      <x:c r="C51" s="1"/>
      <x:c r="D51" s="4"/>
      <x:c r="E51" s="4"/>
      <x:c r="F51" s="4"/>
      <x:c r="G51" s="4"/>
      <x:c r="H51" s="4"/>
      <x:c r="I51" s="4"/>
      <x:c r="J51" s="1"/>
      <x:c r="K51" s="1"/>
      <x:c r="L51" s="1"/>
    </x:row>
    <x:row r="52" ht="22" customHeight="1">
      <x:c r="A52" s="1"/>
      <x:c r="B52" s="1"/>
      <x:c r="C52" s="1"/>
      <x:c r="D52" s="4"/>
      <x:c r="E52" s="4"/>
      <x:c r="F52" s="4"/>
      <x:c r="G52" s="4"/>
      <x:c r="H52" s="4"/>
      <x:c r="I52" s="4"/>
      <x:c r="J52" s="1"/>
      <x:c r="K52" s="1"/>
      <x:c r="L52" s="1"/>
    </x:row>
    <x:row r="53" ht="22" customHeight="1">
      <x:c r="A53" s="1"/>
      <x:c r="B53" s="1"/>
      <x:c r="C53" s="1"/>
      <x:c r="D53" s="4"/>
      <x:c r="E53" s="4"/>
      <x:c r="F53" s="4"/>
      <x:c r="G53" s="4"/>
      <x:c r="H53" s="4"/>
      <x:c r="I53" s="4"/>
      <x:c r="J53" s="1"/>
      <x:c r="K53" s="1"/>
      <x:c r="L53" s="1"/>
    </x:row>
    <x:row r="54" ht="22" customHeight="1">
      <x:c r="A54" s="1"/>
      <x:c r="B54" s="1"/>
      <x:c r="C54" s="1"/>
      <x:c r="D54" s="4"/>
      <x:c r="E54" s="4"/>
      <x:c r="F54" s="4"/>
      <x:c r="G54" s="4"/>
      <x:c r="H54" s="4"/>
      <x:c r="I54" s="4"/>
      <x:c r="J54" s="1"/>
      <x:c r="K54" s="1"/>
      <x:c r="L54" s="1"/>
    </x:row>
    <x:row r="55" ht="22" customHeight="1">
      <x:c r="A55" s="1"/>
      <x:c r="B55" s="1"/>
      <x:c r="C55" s="1"/>
      <x:c r="D55" s="4"/>
      <x:c r="E55" s="4"/>
      <x:c r="F55" s="4"/>
      <x:c r="G55" s="4"/>
      <x:c r="H55" s="4"/>
      <x:c r="I55" s="4"/>
      <x:c r="J55" s="1"/>
      <x:c r="K55" s="1"/>
      <x:c r="L55" s="1"/>
    </x:row>
    <x:row r="56" ht="22" customHeight="1">
      <x:c r="A56" s="1"/>
      <x:c r="B56" s="1"/>
      <x:c r="C56" s="1"/>
      <x:c r="D56" s="4"/>
      <x:c r="E56" s="4"/>
      <x:c r="F56" s="4"/>
      <x:c r="G56" s="4"/>
      <x:c r="H56" s="4"/>
      <x:c r="I56" s="4"/>
      <x:c r="J56" s="1"/>
      <x:c r="K56" s="1"/>
      <x:c r="L56" s="1"/>
    </x:row>
    <x:row r="57" ht="22" customHeight="1">
      <x:c r="A57" s="1"/>
      <x:c r="B57" s="1"/>
      <x:c r="C57" s="1"/>
      <x:c r="D57" s="4"/>
      <x:c r="E57" s="4"/>
      <x:c r="F57" s="4"/>
      <x:c r="G57" s="4"/>
      <x:c r="H57" s="4"/>
      <x:c r="I57" s="4"/>
      <x:c r="J57" s="1"/>
      <x:c r="K57" s="1"/>
      <x:c r="L57" s="1"/>
    </x:row>
    <x:row r="58" ht="22" customHeight="1">
      <x:c r="A58" s="1"/>
      <x:c r="B58" s="1"/>
      <x:c r="C58" s="1"/>
      <x:c r="D58" s="4"/>
      <x:c r="E58" s="4"/>
      <x:c r="F58" s="4"/>
      <x:c r="G58" s="4"/>
      <x:c r="H58" s="4"/>
      <x:c r="I58" s="4"/>
      <x:c r="J58" s="1"/>
      <x:c r="K58" s="1"/>
      <x:c r="L58" s="1"/>
    </x:row>
    <x:row r="59" ht="22" customHeight="1">
      <x:c r="A59" s="1"/>
      <x:c r="B59" s="1"/>
      <x:c r="C59" s="1"/>
      <x:c r="D59" s="4"/>
      <x:c r="E59" s="4"/>
      <x:c r="F59" s="4"/>
      <x:c r="G59" s="4"/>
      <x:c r="H59" s="4"/>
      <x:c r="I59" s="4"/>
      <x:c r="J59" s="1"/>
      <x:c r="K59" s="1"/>
      <x:c r="L59" s="1"/>
    </x:row>
    <x:row r="60" ht="22" customHeight="1">
      <x:c r="A60" s="1"/>
      <x:c r="B60" s="1"/>
      <x:c r="C60" s="1"/>
      <x:c r="D60" s="4"/>
      <x:c r="E60" s="4"/>
      <x:c r="F60" s="4"/>
      <x:c r="G60" s="4"/>
      <x:c r="H60" s="4"/>
      <x:c r="I60" s="4"/>
      <x:c r="J60" s="1"/>
      <x:c r="K60" s="1"/>
      <x:c r="L60" s="1"/>
    </x:row>
    <x:row r="61" ht="22" customHeight="1">
      <x:c r="A61" s="1"/>
      <x:c r="B61" s="1"/>
      <x:c r="C61" s="1"/>
      <x:c r="D61" s="4"/>
      <x:c r="E61" s="4"/>
      <x:c r="F61" s="4"/>
      <x:c r="G61" s="4"/>
      <x:c r="H61" s="4"/>
      <x:c r="I61" s="4"/>
      <x:c r="J61" s="1"/>
      <x:c r="K61" s="1"/>
      <x:c r="L61" s="1"/>
    </x:row>
    <x:row r="62" ht="22" customHeight="1">
      <x:c r="A62" s="1"/>
      <x:c r="B62" s="1"/>
      <x:c r="C62" s="1"/>
      <x:c r="D62" s="4"/>
      <x:c r="E62" s="4"/>
      <x:c r="F62" s="4"/>
      <x:c r="G62" s="4"/>
      <x:c r="H62" s="4"/>
      <x:c r="I62" s="4"/>
      <x:c r="J62" s="1"/>
      <x:c r="K62" s="1"/>
      <x:c r="L62" s="1"/>
    </x:row>
    <x:row r="63" ht="22" customHeight="1">
      <x:c r="A63" s="1"/>
      <x:c r="B63" s="1"/>
      <x:c r="C63" s="1"/>
      <x:c r="D63" s="4"/>
      <x:c r="E63" s="4"/>
      <x:c r="F63" s="4"/>
      <x:c r="G63" s="4"/>
      <x:c r="H63" s="4"/>
      <x:c r="I63" s="4"/>
      <x:c r="J63" s="1"/>
      <x:c r="K63" s="1"/>
      <x:c r="L63" s="1"/>
    </x:row>
    <x:row r="64" ht="22" customHeight="1">
      <x:c r="A64" s="1"/>
      <x:c r="B64" s="1"/>
      <x:c r="C64" s="1"/>
      <x:c r="D64" s="4"/>
      <x:c r="E64" s="4"/>
      <x:c r="F64" s="4"/>
      <x:c r="G64" s="4"/>
      <x:c r="H64" s="4"/>
      <x:c r="I64" s="4"/>
      <x:c r="J64" s="1"/>
      <x:c r="K64" s="1"/>
      <x:c r="L64" s="1"/>
    </x:row>
    <x:row r="65" ht="22" customHeight="1">
      <x:c r="A65" s="1"/>
      <x:c r="B65" s="1"/>
      <x:c r="C65" s="1"/>
      <x:c r="D65" s="4"/>
      <x:c r="E65" s="4"/>
      <x:c r="F65" s="4"/>
      <x:c r="G65" s="4"/>
      <x:c r="H65" s="4"/>
      <x:c r="I65" s="4"/>
      <x:c r="J65" s="1"/>
      <x:c r="K65" s="1"/>
      <x:c r="L65" s="1"/>
    </x:row>
    <x:row r="66" ht="22" customHeight="1">
      <x:c r="A66" s="1"/>
      <x:c r="B66" s="1"/>
      <x:c r="C66" s="1"/>
      <x:c r="D66" s="4"/>
      <x:c r="E66" s="4"/>
      <x:c r="F66" s="4"/>
      <x:c r="G66" s="4"/>
      <x:c r="H66" s="4"/>
      <x:c r="I66" s="4"/>
      <x:c r="J66" s="1"/>
      <x:c r="K66" s="1"/>
      <x:c r="L66" s="1"/>
    </x:row>
    <x:row r="67" ht="22" customHeight="1">
      <x:c r="A67" s="1"/>
      <x:c r="B67" s="1"/>
      <x:c r="C67" s="1"/>
      <x:c r="D67" s="4"/>
      <x:c r="E67" s="4"/>
      <x:c r="F67" s="4"/>
      <x:c r="G67" s="4"/>
      <x:c r="H67" s="4"/>
      <x:c r="I67" s="4"/>
      <x:c r="J67" s="1"/>
      <x:c r="K67" s="1"/>
      <x:c r="L67" s="1"/>
    </x:row>
    <x:row r="68" ht="22" customHeight="1">
      <x:c r="A68" s="1"/>
      <x:c r="B68" s="1"/>
      <x:c r="C68" s="1"/>
      <x:c r="D68" s="4"/>
      <x:c r="E68" s="4"/>
      <x:c r="F68" s="4"/>
      <x:c r="G68" s="4"/>
      <x:c r="H68" s="4"/>
      <x:c r="I68" s="4"/>
      <x:c r="J68" s="1"/>
      <x:c r="K68" s="1"/>
      <x:c r="L68" s="1"/>
    </x:row>
    <x:row r="69" ht="22" customHeight="1">
      <x:c r="A69" s="1"/>
      <x:c r="B69" s="1"/>
      <x:c r="C69" s="1"/>
      <x:c r="D69" s="4"/>
      <x:c r="E69" s="4"/>
      <x:c r="F69" s="4"/>
      <x:c r="G69" s="4"/>
      <x:c r="H69" s="4"/>
      <x:c r="I69" s="4"/>
      <x:c r="J69" s="1"/>
      <x:c r="K69" s="1"/>
      <x:c r="L69" s="1"/>
    </x:row>
    <x:row r="70" ht="22" customHeight="1">
      <x:c r="A70" s="1"/>
      <x:c r="B70" s="1"/>
      <x:c r="C70" s="1"/>
      <x:c r="D70" s="4"/>
      <x:c r="E70" s="4"/>
      <x:c r="F70" s="4"/>
      <x:c r="G70" s="4"/>
      <x:c r="H70" s="4"/>
      <x:c r="I70" s="4"/>
      <x:c r="J70" s="1"/>
      <x:c r="K70" s="1"/>
      <x:c r="L70" s="1"/>
    </x:row>
    <x:row r="71" ht="22" customHeight="1">
      <x:c r="A71" s="1"/>
      <x:c r="B71" s="1"/>
      <x:c r="C71" s="1"/>
      <x:c r="D71" s="4"/>
      <x:c r="E71" s="4"/>
      <x:c r="F71" s="4"/>
      <x:c r="G71" s="4"/>
      <x:c r="H71" s="4"/>
      <x:c r="I71" s="4"/>
      <x:c r="J71" s="1"/>
      <x:c r="K71" s="1"/>
      <x:c r="L71" s="1"/>
    </x:row>
    <x:row r="72" ht="22" customHeight="1">
      <x:c r="A72" s="1"/>
      <x:c r="B72" s="1"/>
      <x:c r="C72" s="1"/>
      <x:c r="D72" s="4"/>
      <x:c r="E72" s="4"/>
      <x:c r="F72" s="4"/>
      <x:c r="G72" s="4"/>
      <x:c r="H72" s="4"/>
      <x:c r="I72" s="4"/>
      <x:c r="J72" s="1"/>
      <x:c r="K72" s="1"/>
      <x:c r="L72" s="1"/>
    </x:row>
    <x:row r="73" ht="22" customHeight="1">
      <x:c r="A73" s="1"/>
      <x:c r="B73" s="1"/>
      <x:c r="C73" s="1"/>
      <x:c r="D73" s="4"/>
      <x:c r="E73" s="4"/>
      <x:c r="F73" s="4"/>
      <x:c r="G73" s="4"/>
      <x:c r="H73" s="4"/>
      <x:c r="I73" s="4"/>
      <x:c r="J73" s="1"/>
      <x:c r="K73" s="1"/>
      <x:c r="L73" s="1"/>
    </x:row>
    <x:row r="74" ht="22" customHeight="1">
      <x:c r="A74" s="1"/>
      <x:c r="B74" s="1"/>
      <x:c r="C74" s="1"/>
      <x:c r="D74" s="4"/>
      <x:c r="E74" s="4"/>
      <x:c r="F74" s="4"/>
      <x:c r="G74" s="4"/>
      <x:c r="H74" s="4"/>
      <x:c r="I74" s="4"/>
      <x:c r="J74" s="1"/>
      <x:c r="K74" s="1"/>
      <x:c r="L74" s="1"/>
    </x:row>
    <x:row r="75" ht="22" customHeight="1">
      <x:c r="A75" s="1"/>
      <x:c r="B75" s="1"/>
      <x:c r="C75" s="1"/>
      <x:c r="D75" s="4"/>
      <x:c r="E75" s="4"/>
      <x:c r="F75" s="4"/>
      <x:c r="G75" s="4"/>
      <x:c r="H75" s="4"/>
      <x:c r="I75" s="4"/>
      <x:c r="J75" s="1"/>
      <x:c r="K75" s="1"/>
      <x:c r="L75" s="1"/>
    </x:row>
    <x:row r="76" ht="22" customHeight="1">
      <x:c r="A76" s="1"/>
      <x:c r="B76" s="1"/>
      <x:c r="C76" s="1"/>
      <x:c r="D76" s="4"/>
      <x:c r="E76" s="4"/>
      <x:c r="F76" s="4"/>
      <x:c r="G76" s="4"/>
      <x:c r="H76" s="4"/>
      <x:c r="I76" s="4"/>
      <x:c r="J76" s="1"/>
      <x:c r="K76" s="1"/>
      <x:c r="L76" s="1"/>
    </x:row>
    <x:row r="77" ht="22" customHeight="1">
      <x:c r="A77" s="1"/>
      <x:c r="B77" s="1"/>
      <x:c r="C77" s="1"/>
      <x:c r="D77" s="4"/>
      <x:c r="E77" s="4"/>
      <x:c r="F77" s="4"/>
      <x:c r="G77" s="4"/>
      <x:c r="H77" s="4"/>
      <x:c r="I77" s="4"/>
      <x:c r="J77" s="1"/>
      <x:c r="K77" s="1"/>
      <x:c r="L77" s="1"/>
    </x:row>
    <x:row r="78" ht="22" customHeight="1">
      <x:c r="A78" s="1"/>
      <x:c r="B78" s="1"/>
      <x:c r="C78" s="1"/>
      <x:c r="D78" s="4"/>
      <x:c r="E78" s="4"/>
      <x:c r="F78" s="4"/>
      <x:c r="G78" s="4"/>
      <x:c r="H78" s="4"/>
      <x:c r="I78" s="4"/>
      <x:c r="J78" s="1"/>
      <x:c r="K78" s="1"/>
      <x:c r="L78" s="1"/>
    </x:row>
    <x:row r="79" ht="22" customHeight="1">
      <x:c r="A79" s="1"/>
      <x:c r="B79" s="1"/>
      <x:c r="C79" s="1"/>
      <x:c r="D79" s="4"/>
      <x:c r="E79" s="4"/>
      <x:c r="F79" s="4"/>
      <x:c r="G79" s="4"/>
      <x:c r="H79" s="4"/>
      <x:c r="I79" s="4"/>
      <x:c r="J79" s="1"/>
      <x:c r="K79" s="1"/>
      <x:c r="L79" s="1"/>
    </x:row>
    <x:row r="80" ht="22" customHeight="1">
      <x:c r="A80" s="1"/>
      <x:c r="B80" s="1"/>
      <x:c r="C80" s="1"/>
      <x:c r="D80" s="4"/>
      <x:c r="E80" s="4"/>
      <x:c r="F80" s="4"/>
      <x:c r="G80" s="4"/>
      <x:c r="H80" s="4"/>
      <x:c r="I80" s="4"/>
      <x:c r="J80" s="1"/>
      <x:c r="K80" s="1"/>
      <x:c r="L80" s="1"/>
    </x:row>
    <x:row r="81" ht="22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</x:row>
    <x:row r="82" ht="22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</x:row>
    <x:row r="83" ht="22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</x:row>
    <x:row r="84" ht="22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</x:row>
    <x:row r="85" ht="22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43" hidden="0" customWidth="1"/>
    <x:col min="4" max="4" width="20" hidden="0" customWidth="1"/>
    <x:col min="5" max="5" width="17" hidden="0" customWidth="1"/>
    <x:col min="6" max="6" width="65" hidden="0" customWidth="1"/>
    <x:col min="7" max="7" width="17" hidden="0" customWidth="1"/>
    <x:col min="8" max="8" width="17" hidden="0" customWidth="1"/>
    <x:col min="9" max="9" width="17" hidden="0" customWidth="1"/>
    <x:col min="10" max="10" width="26" hidden="0" customWidth="1"/>
    <x:col min="11" max="11" width="26" hidden="0" customWidth="1"/>
    <x:col min="12" max="12" width="26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2" customHeight="1">
      <x:c r="A2" s="1"/>
      <x:c r="B2" s="1"/>
      <x:c r="C2" s="2" t="str">
        <x:v>Special Cases</x:v>
      </x:c>
      <x:c r="D2" s="2"/>
      <x:c r="E2" s="2"/>
      <x:c r="F2" s="2"/>
      <x:c r="G2" s="2"/>
      <x:c r="H2" s="2"/>
      <x:c r="I2" s="2"/>
      <x:c r="J2" s="1"/>
      <x:c r="K2" s="1"/>
      <x:c r="L2" s="1"/>
    </x:row>
    <x:row r="3" ht="22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22" customHeight="1">
      <x:c r="A4" s="1"/>
      <x:c r="B4" s="1"/>
      <x:c r="C4" s="1" t="str">
        <x:v>Case selected</x:v>
      </x:c>
      <x:c r="D4" s="3" t="str">
        <x:f>Inputs!D3</x:f>
        <x:v>Base</x:v>
      </x:c>
      <x:c r="E4" s="1"/>
      <x:c r="F4" s="1"/>
      <x:c r="G4" s="1"/>
      <x:c r="H4" s="1"/>
      <x:c r="I4" s="1"/>
      <x:c r="J4" s="1"/>
      <x:c r="K4" s="1"/>
      <x:c r="L4" s="1"/>
    </x:row>
    <x:row r="5" ht="22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 ht="22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</x:row>
    <x:row r="7" ht="22" customHeight="1">
      <x:c r="A7" s="1"/>
      <x:c r="B7" s="1"/>
      <x:c r="C7" s="16" t="str">
        <x:v>Economic assumption review</x:v>
      </x:c>
      <x:c r="D7" s="16" t="str">
        <x:v>Active case</x:v>
      </x:c>
      <x:c r="E7" s="1"/>
      <x:c r="F7" s="1"/>
      <x:c r="G7" s="1"/>
      <x:c r="H7" s="1"/>
      <x:c r="I7" s="1"/>
      <x:c r="J7" s="1"/>
      <x:c r="K7" s="1"/>
      <x:c r="L7" s="1"/>
    </x:row>
    <x:row r="8" ht="29" customHeight="1">
      <x:c r="A8" s="1"/>
      <x:c r="B8" s="1"/>
      <x:c r="C8" s="1" t="str">
        <x:v>Fee savings / 2027 revenue</x:v>
      </x:c>
      <x:c r="D8" s="11" t="n">
        <x:f>Inputs!$D$62/Forecast!E8</x:f>
        <x:v>0.014335204873969656</x:v>
      </x:c>
      <x:c r="E8" s="4"/>
      <x:c r="F8" s="20" t="str">
        <x:v>6bn savings already included in the Base margin.</x:v>
      </x:c>
      <x:c r="G8" s="4"/>
      <x:c r="H8" s="4"/>
      <x:c r="I8" s="4"/>
      <x:c r="J8" s="1"/>
      <x:c r="K8" s="1"/>
      <x:c r="L8" s="1"/>
    </x:row>
    <x:row r="9" ht="29" customHeight="1">
      <x:c r="A9" s="1"/>
      <x:c r="B9" s="1"/>
      <x:c r="C9" s="1" t="str">
        <x:v>DCF: fee saving delayed one year</x:v>
      </x:c>
      <x:c r="D9" s="9" t="n">
        <x:f>DCF!D26-Inputs!$D$62*(1-Inputs!$D$19)/(1+Inputs!$D$9)*1000/DCF!D25</x:f>
        <x:v>138775.4072284952</x:v>
      </x:c>
      <x:c r="E9" s="4"/>
      <x:c r="F9" s="20" t="str">
        <x:v>2027 saving lost; 2028 onward path held fixed.</x:v>
      </x:c>
      <x:c r="G9" s="4"/>
      <x:c r="H9" s="4"/>
      <x:c r="I9" s="4"/>
      <x:c r="J9" s="1"/>
      <x:c r="K9" s="1"/>
      <x:c r="L9" s="1"/>
    </x:row>
    <x:row r="10" ht="29" customHeight="1">
      <x:c r="A10" s="1"/>
      <x:c r="B10" s="1"/>
      <x:c r="C10" s="1"/>
      <x:c r="D10" s="4"/>
      <x:c r="E10" s="4"/>
      <x:c r="F10" s="20"/>
      <x:c r="G10" s="4"/>
      <x:c r="H10" s="4"/>
      <x:c r="I10" s="4"/>
      <x:c r="J10" s="1"/>
      <x:c r="K10" s="1"/>
      <x:c r="L10" s="1"/>
    </x:row>
    <x:row r="11" ht="29" customHeight="1">
      <x:c r="A11" s="1"/>
      <x:c r="B11" s="1"/>
      <x:c r="C11" s="1"/>
      <x:c r="D11" s="4"/>
      <x:c r="E11" s="4"/>
      <x:c r="F11" s="20"/>
      <x:c r="G11" s="4"/>
      <x:c r="H11" s="4"/>
      <x:c r="I11" s="4"/>
      <x:c r="J11" s="1"/>
      <x:c r="K11" s="1"/>
      <x:c r="L11" s="1"/>
    </x:row>
    <x:row r="12" ht="29" customHeight="1">
      <x:c r="A12" s="1"/>
      <x:c r="B12" s="1"/>
      <x:c r="C12" s="1"/>
      <x:c r="D12" s="4"/>
      <x:c r="E12" s="4"/>
      <x:c r="F12" s="20"/>
      <x:c r="G12" s="4"/>
      <x:c r="H12" s="4"/>
      <x:c r="I12" s="4"/>
      <x:c r="J12" s="1"/>
      <x:c r="K12" s="1"/>
      <x:c r="L12" s="1"/>
    </x:row>
    <x:row r="13" ht="29" customHeight="1">
      <x:c r="A13" s="1"/>
      <x:c r="B13" s="1"/>
      <x:c r="C13" s="1"/>
      <x:c r="D13" s="4"/>
      <x:c r="E13" s="4"/>
      <x:c r="F13" s="20"/>
      <x:c r="G13" s="4"/>
      <x:c r="H13" s="4"/>
      <x:c r="I13" s="4"/>
      <x:c r="J13" s="1"/>
      <x:c r="K13" s="1"/>
      <x:c r="L13" s="1"/>
    </x:row>
    <x:row r="14" ht="29" customHeight="1">
      <x:c r="A14" s="1"/>
      <x:c r="B14" s="1"/>
      <x:c r="C14" s="1"/>
      <x:c r="D14" s="4"/>
      <x:c r="E14" s="4"/>
      <x:c r="F14" s="20"/>
      <x:c r="G14" s="4"/>
      <x:c r="H14" s="4"/>
      <x:c r="I14" s="4"/>
      <x:c r="J14" s="1"/>
      <x:c r="K14" s="1"/>
      <x:c r="L14" s="1"/>
    </x:row>
    <x:row r="15" ht="29" customHeight="1">
      <x:c r="A15" s="1"/>
      <x:c r="B15" s="1"/>
      <x:c r="C15" s="1"/>
      <x:c r="D15" s="4"/>
      <x:c r="E15" s="4"/>
      <x:c r="F15" s="20"/>
      <x:c r="G15" s="4"/>
      <x:c r="H15" s="4"/>
      <x:c r="I15" s="4"/>
      <x:c r="J15" s="1"/>
      <x:c r="K15" s="1"/>
      <x:c r="L15" s="1"/>
    </x:row>
    <x:row r="16" ht="29" customHeight="1">
      <x:c r="A16" s="1"/>
      <x:c r="B16" s="1"/>
      <x:c r="C16" s="1" t="str">
        <x:v>All special cases are local sensitivities, not company guidance.</x:v>
      </x:c>
      <x:c r="D16" s="4"/>
      <x:c r="E16" s="4"/>
      <x:c r="F16" s="20"/>
      <x:c r="G16" s="4"/>
      <x:c r="H16" s="4"/>
      <x:c r="I16" s="4"/>
      <x:c r="J16" s="1"/>
      <x:c r="K16" s="1"/>
      <x:c r="L16" s="1"/>
    </x:row>
    <x:row r="17" ht="29" customHeight="1">
      <x:c r="A17" s="1"/>
      <x:c r="B17" s="1"/>
      <x:c r="C17" s="1"/>
      <x:c r="D17" s="4"/>
      <x:c r="E17" s="4"/>
      <x:c r="F17" s="20"/>
      <x:c r="G17" s="4"/>
      <x:c r="H17" s="4"/>
      <x:c r="I17" s="4"/>
      <x:c r="J17" s="1"/>
      <x:c r="K17" s="1"/>
      <x:c r="L17" s="1"/>
    </x:row>
    <x:row r="18" ht="29" customHeight="1">
      <x:c r="A18" s="1"/>
      <x:c r="B18" s="1"/>
      <x:c r="C18" s="1" t="str">
        <x:v>Units: KRW bn / shares mn / prices KRW. See report section 11.</x:v>
      </x:c>
      <x:c r="D18" s="4"/>
      <x:c r="E18" s="4"/>
      <x:c r="F18" s="20"/>
      <x:c r="G18" s="4"/>
      <x:c r="H18" s="4"/>
      <x:c r="I18" s="4"/>
      <x:c r="J18" s="1"/>
      <x:c r="K18" s="1"/>
      <x:c r="L18" s="1"/>
    </x:row>
    <x:row r="19" ht="29" customHeight="1">
      <x:c r="A19" s="1"/>
      <x:c r="B19" s="1"/>
      <x:c r="C19" s="1"/>
      <x:c r="D19" s="4"/>
      <x:c r="E19" s="4"/>
      <x:c r="F19" s="20"/>
      <x:c r="G19" s="4"/>
      <x:c r="H19" s="4"/>
      <x:c r="I19" s="4"/>
      <x:c r="J19" s="1"/>
      <x:c r="K19" s="1"/>
      <x:c r="L19" s="1"/>
    </x:row>
    <x:row r="20" ht="29" customHeight="1">
      <x:c r="A20" s="1"/>
      <x:c r="B20" s="1"/>
      <x:c r="C20" s="1"/>
      <x:c r="D20" s="4"/>
      <x:c r="E20" s="4"/>
      <x:c r="F20" s="20"/>
      <x:c r="G20" s="4"/>
      <x:c r="H20" s="4"/>
      <x:c r="I20" s="4"/>
      <x:c r="J20" s="1"/>
      <x:c r="K20" s="1"/>
      <x:c r="L20" s="1"/>
    </x:row>
    <x:row r="21" ht="29" customHeight="1">
      <x:c r="A21" s="1"/>
      <x:c r="B21" s="1"/>
      <x:c r="C21" s="1"/>
      <x:c r="D21" s="4"/>
      <x:c r="E21" s="4"/>
      <x:c r="F21" s="20"/>
      <x:c r="G21" s="4"/>
      <x:c r="H21" s="4"/>
      <x:c r="I21" s="4"/>
      <x:c r="J21" s="1"/>
      <x:c r="K21" s="1"/>
      <x:c r="L21" s="1"/>
    </x:row>
    <x:row r="22" ht="29" customHeight="1">
      <x:c r="A22" s="1"/>
      <x:c r="B22" s="1"/>
      <x:c r="C22" s="1"/>
      <x:c r="D22" s="4"/>
      <x:c r="E22" s="4"/>
      <x:c r="F22" s="20"/>
      <x:c r="G22" s="4"/>
      <x:c r="H22" s="4"/>
      <x:c r="I22" s="4"/>
      <x:c r="J22" s="1"/>
      <x:c r="K22" s="1"/>
      <x:c r="L22" s="1"/>
    </x:row>
    <x:row r="23" ht="29" customHeight="1">
      <x:c r="A23" s="1"/>
      <x:c r="B23" s="1"/>
      <x:c r="C23" s="1"/>
      <x:c r="D23" s="4"/>
      <x:c r="E23" s="4"/>
      <x:c r="F23" s="20"/>
      <x:c r="G23" s="4"/>
      <x:c r="H23" s="4"/>
      <x:c r="I23" s="4"/>
      <x:c r="J23" s="1"/>
      <x:c r="K23" s="1"/>
      <x:c r="L23" s="1"/>
    </x:row>
    <x:row r="24" ht="29" customHeight="1">
      <x:c r="A24" s="1"/>
      <x:c r="B24" s="1"/>
      <x:c r="C24" s="1"/>
      <x:c r="D24" s="4"/>
      <x:c r="E24" s="4"/>
      <x:c r="F24" s="20"/>
      <x:c r="G24" s="4"/>
      <x:c r="H24" s="4"/>
      <x:c r="I24" s="4"/>
      <x:c r="J24" s="1"/>
      <x:c r="K24" s="1"/>
      <x:c r="L24" s="1"/>
    </x:row>
    <x:row r="25" ht="29" customHeight="1">
      <x:c r="A25" s="1"/>
      <x:c r="B25" s="1"/>
      <x:c r="C25" s="1"/>
      <x:c r="D25" s="4"/>
      <x:c r="E25" s="4"/>
      <x:c r="F25" s="20"/>
      <x:c r="G25" s="4"/>
      <x:c r="H25" s="4"/>
      <x:c r="I25" s="4"/>
      <x:c r="J25" s="1"/>
      <x:c r="K25" s="1"/>
      <x:c r="L25" s="1"/>
    </x:row>
    <x:row r="26" ht="29" customHeight="1">
      <x:c r="A26" s="1"/>
      <x:c r="B26" s="1"/>
      <x:c r="C26" s="1"/>
      <x:c r="D26" s="4"/>
      <x:c r="E26" s="4"/>
      <x:c r="F26" s="20"/>
      <x:c r="G26" s="4"/>
      <x:c r="H26" s="4"/>
      <x:c r="I26" s="4"/>
      <x:c r="J26" s="1"/>
      <x:c r="K26" s="1"/>
      <x:c r="L26" s="1"/>
    </x:row>
    <x:row r="27" ht="29" customHeight="1">
      <x:c r="A27" s="1"/>
      <x:c r="B27" s="1"/>
      <x:c r="C27" s="1"/>
      <x:c r="D27" s="4"/>
      <x:c r="E27" s="4"/>
      <x:c r="F27" s="20"/>
      <x:c r="G27" s="4"/>
      <x:c r="H27" s="4"/>
      <x:c r="I27" s="4"/>
      <x:c r="J27" s="1"/>
      <x:c r="K27" s="1"/>
      <x:c r="L27" s="1"/>
    </x:row>
    <x:row r="28" ht="29" customHeight="1">
      <x:c r="A28" s="1"/>
      <x:c r="B28" s="1"/>
      <x:c r="C28" s="1"/>
      <x:c r="D28" s="4"/>
      <x:c r="E28" s="4"/>
      <x:c r="F28" s="20"/>
      <x:c r="G28" s="4"/>
      <x:c r="H28" s="4"/>
      <x:c r="I28" s="4"/>
      <x:c r="J28" s="1"/>
      <x:c r="K28" s="1"/>
      <x:c r="L28" s="1"/>
    </x:row>
    <x:row r="29" ht="29" customHeight="1">
      <x:c r="A29" s="1"/>
      <x:c r="B29" s="1"/>
      <x:c r="C29" s="1"/>
      <x:c r="D29" s="4"/>
      <x:c r="E29" s="4"/>
      <x:c r="F29" s="20"/>
      <x:c r="G29" s="4"/>
      <x:c r="H29" s="4"/>
      <x:c r="I29" s="4"/>
      <x:c r="J29" s="1"/>
      <x:c r="K29" s="1"/>
      <x:c r="L29" s="1"/>
    </x:row>
    <x:row r="30" ht="29" customHeight="1">
      <x:c r="A30" s="1"/>
      <x:c r="B30" s="1"/>
      <x:c r="C30" s="1"/>
      <x:c r="D30" s="4"/>
      <x:c r="E30" s="4"/>
      <x:c r="F30" s="20"/>
      <x:c r="G30" s="4"/>
      <x:c r="H30" s="4"/>
      <x:c r="I30" s="4"/>
      <x:c r="J30" s="1"/>
      <x:c r="K30" s="1"/>
      <x:c r="L30" s="1"/>
    </x:row>
    <x:row r="31" ht="29" customHeight="1">
      <x:c r="A31" s="1"/>
      <x:c r="B31" s="1"/>
      <x:c r="C31" s="1"/>
      <x:c r="D31" s="4"/>
      <x:c r="E31" s="4"/>
      <x:c r="F31" s="20"/>
      <x:c r="G31" s="4"/>
      <x:c r="H31" s="4"/>
      <x:c r="I31" s="4"/>
      <x:c r="J31" s="1"/>
      <x:c r="K31" s="1"/>
      <x:c r="L31" s="1"/>
    </x:row>
    <x:row r="32" ht="29" customHeight="1">
      <x:c r="A32" s="1"/>
      <x:c r="B32" s="1"/>
      <x:c r="C32" s="1"/>
      <x:c r="D32" s="4"/>
      <x:c r="E32" s="4"/>
      <x:c r="F32" s="20"/>
      <x:c r="G32" s="4"/>
      <x:c r="H32" s="4"/>
      <x:c r="I32" s="4"/>
      <x:c r="J32" s="1"/>
      <x:c r="K32" s="1"/>
      <x:c r="L32" s="1"/>
    </x:row>
    <x:row r="33" ht="29" customHeight="1">
      <x:c r="A33" s="1"/>
      <x:c r="B33" s="1"/>
      <x:c r="C33" s="1"/>
      <x:c r="D33" s="4"/>
      <x:c r="E33" s="4"/>
      <x:c r="F33" s="20"/>
      <x:c r="G33" s="4"/>
      <x:c r="H33" s="4"/>
      <x:c r="I33" s="4"/>
      <x:c r="J33" s="1"/>
      <x:c r="K33" s="1"/>
      <x:c r="L33" s="1"/>
    </x:row>
    <x:row r="34" ht="29" customHeight="1">
      <x:c r="A34" s="1"/>
      <x:c r="B34" s="1"/>
      <x:c r="C34" s="1"/>
      <x:c r="D34" s="4"/>
      <x:c r="E34" s="4"/>
      <x:c r="F34" s="20"/>
      <x:c r="G34" s="4"/>
      <x:c r="H34" s="4"/>
      <x:c r="I34" s="4"/>
      <x:c r="J34" s="1"/>
      <x:c r="K34" s="1"/>
      <x:c r="L34" s="1"/>
    </x:row>
    <x:row r="35" ht="22" customHeight="1">
      <x:c r="A35" s="1"/>
      <x:c r="B35" s="1"/>
      <x:c r="C35" s="1"/>
      <x:c r="D35" s="4"/>
      <x:c r="E35" s="4"/>
      <x:c r="F35" s="4"/>
      <x:c r="G35" s="4"/>
      <x:c r="H35" s="4"/>
      <x:c r="I35" s="4"/>
      <x:c r="J35" s="1"/>
      <x:c r="K35" s="1"/>
      <x:c r="L35" s="1"/>
    </x:row>
    <x:row r="36" ht="22" customHeight="1">
      <x:c r="A36" s="1"/>
      <x:c r="B36" s="1"/>
      <x:c r="C36" s="1"/>
      <x:c r="D36" s="4"/>
      <x:c r="E36" s="4"/>
      <x:c r="F36" s="4"/>
      <x:c r="G36" s="4"/>
      <x:c r="H36" s="4"/>
      <x:c r="I36" s="4"/>
      <x:c r="J36" s="1"/>
      <x:c r="K36" s="1"/>
      <x:c r="L36" s="1"/>
    </x:row>
    <x:row r="37" ht="22" customHeight="1">
      <x:c r="A37" s="1"/>
      <x:c r="B37" s="1"/>
      <x:c r="C37" s="1"/>
      <x:c r="D37" s="4"/>
      <x:c r="E37" s="4"/>
      <x:c r="F37" s="4"/>
      <x:c r="G37" s="4"/>
      <x:c r="H37" s="4"/>
      <x:c r="I37" s="4"/>
      <x:c r="J37" s="1"/>
      <x:c r="K37" s="1"/>
      <x:c r="L37" s="1"/>
    </x:row>
    <x:row r="38" ht="22" customHeight="1">
      <x:c r="A38" s="1"/>
      <x:c r="B38" s="1"/>
      <x:c r="C38" s="1"/>
      <x:c r="D38" s="4"/>
      <x:c r="E38" s="4"/>
      <x:c r="F38" s="4"/>
      <x:c r="G38" s="4"/>
      <x:c r="H38" s="4"/>
      <x:c r="I38" s="4"/>
      <x:c r="J38" s="1"/>
      <x:c r="K38" s="1"/>
      <x:c r="L38" s="1"/>
    </x:row>
    <x:row r="39" ht="22" customHeight="1">
      <x:c r="A39" s="1"/>
      <x:c r="B39" s="1"/>
      <x:c r="C39" s="1"/>
      <x:c r="D39" s="4"/>
      <x:c r="E39" s="4"/>
      <x:c r="F39" s="4"/>
      <x:c r="G39" s="4"/>
      <x:c r="H39" s="4"/>
      <x:c r="I39" s="4"/>
      <x:c r="J39" s="1"/>
      <x:c r="K39" s="1"/>
      <x:c r="L39" s="1"/>
    </x:row>
    <x:row r="40" ht="22" customHeight="1">
      <x:c r="A40" s="1"/>
      <x:c r="B40" s="1"/>
      <x:c r="C40" s="1"/>
      <x:c r="D40" s="4"/>
      <x:c r="E40" s="4"/>
      <x:c r="F40" s="4"/>
      <x:c r="G40" s="4"/>
      <x:c r="H40" s="4"/>
      <x:c r="I40" s="4"/>
      <x:c r="J40" s="1"/>
      <x:c r="K40" s="1"/>
      <x:c r="L40" s="1"/>
    </x:row>
    <x:row r="41" ht="22" customHeight="1">
      <x:c r="A41" s="1"/>
      <x:c r="B41" s="1"/>
      <x:c r="C41" s="1"/>
      <x:c r="D41" s="4"/>
      <x:c r="E41" s="4"/>
      <x:c r="F41" s="4"/>
      <x:c r="G41" s="4"/>
      <x:c r="H41" s="4"/>
      <x:c r="I41" s="4"/>
      <x:c r="J41" s="1"/>
      <x:c r="K41" s="1"/>
      <x:c r="L41" s="1"/>
    </x:row>
    <x:row r="42" ht="22" customHeight="1">
      <x:c r="A42" s="1"/>
      <x:c r="B42" s="1"/>
      <x:c r="C42" s="1"/>
      <x:c r="D42" s="4"/>
      <x:c r="E42" s="4"/>
      <x:c r="F42" s="4"/>
      <x:c r="G42" s="4"/>
      <x:c r="H42" s="4"/>
      <x:c r="I42" s="4"/>
      <x:c r="J42" s="1"/>
      <x:c r="K42" s="1"/>
      <x:c r="L42" s="1"/>
    </x:row>
    <x:row r="43" ht="22" customHeight="1">
      <x:c r="A43" s="1"/>
      <x:c r="B43" s="1"/>
      <x:c r="C43" s="1"/>
      <x:c r="D43" s="4"/>
      <x:c r="E43" s="4"/>
      <x:c r="F43" s="4"/>
      <x:c r="G43" s="4"/>
      <x:c r="H43" s="4"/>
      <x:c r="I43" s="4"/>
      <x:c r="J43" s="1"/>
      <x:c r="K43" s="1"/>
      <x:c r="L43" s="1"/>
    </x:row>
    <x:row r="44" ht="22" customHeight="1">
      <x:c r="A44" s="1"/>
      <x:c r="B44" s="1"/>
      <x:c r="C44" s="1"/>
      <x:c r="D44" s="4"/>
      <x:c r="E44" s="4"/>
      <x:c r="F44" s="4"/>
      <x:c r="G44" s="4"/>
      <x:c r="H44" s="4"/>
      <x:c r="I44" s="4"/>
      <x:c r="J44" s="1"/>
      <x:c r="K44" s="1"/>
      <x:c r="L44" s="1"/>
    </x:row>
    <x:row r="45" ht="22" customHeight="1">
      <x:c r="A45" s="1"/>
      <x:c r="B45" s="1"/>
      <x:c r="C45" s="1"/>
      <x:c r="D45" s="4"/>
      <x:c r="E45" s="4"/>
      <x:c r="F45" s="4"/>
      <x:c r="G45" s="4"/>
      <x:c r="H45" s="4"/>
      <x:c r="I45" s="4"/>
      <x:c r="J45" s="1"/>
      <x:c r="K45" s="1"/>
      <x:c r="L45" s="1"/>
    </x:row>
    <x:row r="46" ht="22" customHeight="1">
      <x:c r="A46" s="1"/>
      <x:c r="B46" s="1"/>
      <x:c r="C46" s="1"/>
      <x:c r="D46" s="4"/>
      <x:c r="E46" s="4"/>
      <x:c r="F46" s="4"/>
      <x:c r="G46" s="4"/>
      <x:c r="H46" s="4"/>
      <x:c r="I46" s="4"/>
      <x:c r="J46" s="1"/>
      <x:c r="K46" s="1"/>
      <x:c r="L46" s="1"/>
    </x:row>
    <x:row r="47" ht="22" customHeight="1">
      <x:c r="A47" s="1"/>
      <x:c r="B47" s="1"/>
      <x:c r="C47" s="1"/>
      <x:c r="D47" s="4"/>
      <x:c r="E47" s="4"/>
      <x:c r="F47" s="4"/>
      <x:c r="G47" s="4"/>
      <x:c r="H47" s="4"/>
      <x:c r="I47" s="4"/>
      <x:c r="J47" s="1"/>
      <x:c r="K47" s="1"/>
      <x:c r="L47" s="1"/>
    </x:row>
    <x:row r="48" ht="22" customHeight="1">
      <x:c r="A48" s="1"/>
      <x:c r="B48" s="1"/>
      <x:c r="C48" s="1"/>
      <x:c r="D48" s="4"/>
      <x:c r="E48" s="4"/>
      <x:c r="F48" s="4"/>
      <x:c r="G48" s="4"/>
      <x:c r="H48" s="4"/>
      <x:c r="I48" s="4"/>
      <x:c r="J48" s="1"/>
      <x:c r="K48" s="1"/>
      <x:c r="L48" s="1"/>
    </x:row>
    <x:row r="49" ht="22" customHeight="1">
      <x:c r="A49" s="1"/>
      <x:c r="B49" s="1"/>
      <x:c r="C49" s="1"/>
      <x:c r="D49" s="4"/>
      <x:c r="E49" s="4"/>
      <x:c r="F49" s="4"/>
      <x:c r="G49" s="4"/>
      <x:c r="H49" s="4"/>
      <x:c r="I49" s="4"/>
      <x:c r="J49" s="1"/>
      <x:c r="K49" s="1"/>
      <x:c r="L49" s="1"/>
    </x:row>
    <x:row r="50" ht="22" customHeight="1">
      <x:c r="A50" s="1"/>
      <x:c r="B50" s="1"/>
      <x:c r="C50" s="1"/>
      <x:c r="D50" s="4"/>
      <x:c r="E50" s="4"/>
      <x:c r="F50" s="4"/>
      <x:c r="G50" s="4"/>
      <x:c r="H50" s="4"/>
      <x:c r="I50" s="4"/>
      <x:c r="J50" s="1"/>
      <x:c r="K50" s="1"/>
      <x:c r="L50" s="1"/>
    </x:row>
    <x:row r="51" ht="22" customHeight="1">
      <x:c r="A51" s="1"/>
      <x:c r="B51" s="1"/>
      <x:c r="C51" s="1"/>
      <x:c r="D51" s="4"/>
      <x:c r="E51" s="4"/>
      <x:c r="F51" s="4"/>
      <x:c r="G51" s="4"/>
      <x:c r="H51" s="4"/>
      <x:c r="I51" s="4"/>
      <x:c r="J51" s="1"/>
      <x:c r="K51" s="1"/>
      <x:c r="L51" s="1"/>
    </x:row>
    <x:row r="52" ht="22" customHeight="1">
      <x:c r="A52" s="1"/>
      <x:c r="B52" s="1"/>
      <x:c r="C52" s="1"/>
      <x:c r="D52" s="4"/>
      <x:c r="E52" s="4"/>
      <x:c r="F52" s="4"/>
      <x:c r="G52" s="4"/>
      <x:c r="H52" s="4"/>
      <x:c r="I52" s="4"/>
      <x:c r="J52" s="1"/>
      <x:c r="K52" s="1"/>
      <x:c r="L52" s="1"/>
    </x:row>
    <x:row r="53" ht="22" customHeight="1">
      <x:c r="A53" s="1"/>
      <x:c r="B53" s="1"/>
      <x:c r="C53" s="1"/>
      <x:c r="D53" s="4"/>
      <x:c r="E53" s="4"/>
      <x:c r="F53" s="4"/>
      <x:c r="G53" s="4"/>
      <x:c r="H53" s="4"/>
      <x:c r="I53" s="4"/>
      <x:c r="J53" s="1"/>
      <x:c r="K53" s="1"/>
      <x:c r="L53" s="1"/>
    </x:row>
    <x:row r="54" ht="22" customHeight="1">
      <x:c r="A54" s="1"/>
      <x:c r="B54" s="1"/>
      <x:c r="C54" s="1"/>
      <x:c r="D54" s="4"/>
      <x:c r="E54" s="4"/>
      <x:c r="F54" s="4"/>
      <x:c r="G54" s="4"/>
      <x:c r="H54" s="4"/>
      <x:c r="I54" s="4"/>
      <x:c r="J54" s="1"/>
      <x:c r="K54" s="1"/>
      <x:c r="L54" s="1"/>
    </x:row>
    <x:row r="55" ht="22" customHeight="1">
      <x:c r="A55" s="1"/>
      <x:c r="B55" s="1"/>
      <x:c r="C55" s="1"/>
      <x:c r="D55" s="4"/>
      <x:c r="E55" s="4"/>
      <x:c r="F55" s="4"/>
      <x:c r="G55" s="4"/>
      <x:c r="H55" s="4"/>
      <x:c r="I55" s="4"/>
      <x:c r="J55" s="1"/>
      <x:c r="K55" s="1"/>
      <x:c r="L55" s="1"/>
    </x:row>
    <x:row r="56" ht="22" customHeight="1">
      <x:c r="A56" s="1"/>
      <x:c r="B56" s="1"/>
      <x:c r="C56" s="1"/>
      <x:c r="D56" s="4"/>
      <x:c r="E56" s="4"/>
      <x:c r="F56" s="4"/>
      <x:c r="G56" s="4"/>
      <x:c r="H56" s="4"/>
      <x:c r="I56" s="4"/>
      <x:c r="J56" s="1"/>
      <x:c r="K56" s="1"/>
      <x:c r="L56" s="1"/>
    </x:row>
    <x:row r="57" ht="22" customHeight="1">
      <x:c r="A57" s="1"/>
      <x:c r="B57" s="1"/>
      <x:c r="C57" s="1"/>
      <x:c r="D57" s="4"/>
      <x:c r="E57" s="4"/>
      <x:c r="F57" s="4"/>
      <x:c r="G57" s="4"/>
      <x:c r="H57" s="4"/>
      <x:c r="I57" s="4"/>
      <x:c r="J57" s="1"/>
      <x:c r="K57" s="1"/>
      <x:c r="L57" s="1"/>
    </x:row>
    <x:row r="58" ht="22" customHeight="1">
      <x:c r="A58" s="1"/>
      <x:c r="B58" s="1"/>
      <x:c r="C58" s="1"/>
      <x:c r="D58" s="4"/>
      <x:c r="E58" s="4"/>
      <x:c r="F58" s="4"/>
      <x:c r="G58" s="4"/>
      <x:c r="H58" s="4"/>
      <x:c r="I58" s="4"/>
      <x:c r="J58" s="1"/>
      <x:c r="K58" s="1"/>
      <x:c r="L58" s="1"/>
    </x:row>
    <x:row r="59" ht="22" customHeight="1">
      <x:c r="A59" s="1"/>
      <x:c r="B59" s="1"/>
      <x:c r="C59" s="1"/>
      <x:c r="D59" s="4"/>
      <x:c r="E59" s="4"/>
      <x:c r="F59" s="4"/>
      <x:c r="G59" s="4"/>
      <x:c r="H59" s="4"/>
      <x:c r="I59" s="4"/>
      <x:c r="J59" s="1"/>
      <x:c r="K59" s="1"/>
      <x:c r="L59" s="1"/>
    </x:row>
    <x:row r="60" ht="22" customHeight="1">
      <x:c r="A60" s="1"/>
      <x:c r="B60" s="1"/>
      <x:c r="C60" s="1"/>
      <x:c r="D60" s="4"/>
      <x:c r="E60" s="4"/>
      <x:c r="F60" s="4"/>
      <x:c r="G60" s="4"/>
      <x:c r="H60" s="4"/>
      <x:c r="I60" s="4"/>
      <x:c r="J60" s="1"/>
      <x:c r="K60" s="1"/>
      <x:c r="L60" s="1"/>
    </x:row>
    <x:row r="61" ht="22" customHeight="1">
      <x:c r="A61" s="1"/>
      <x:c r="B61" s="1"/>
      <x:c r="C61" s="1"/>
      <x:c r="D61" s="4"/>
      <x:c r="E61" s="4"/>
      <x:c r="F61" s="4"/>
      <x:c r="G61" s="4"/>
      <x:c r="H61" s="4"/>
      <x:c r="I61" s="4"/>
      <x:c r="J61" s="1"/>
      <x:c r="K61" s="1"/>
      <x:c r="L61" s="1"/>
    </x:row>
    <x:row r="62" ht="22" customHeight="1">
      <x:c r="A62" s="1"/>
      <x:c r="B62" s="1"/>
      <x:c r="C62" s="1"/>
      <x:c r="D62" s="4"/>
      <x:c r="E62" s="4"/>
      <x:c r="F62" s="4"/>
      <x:c r="G62" s="4"/>
      <x:c r="H62" s="4"/>
      <x:c r="I62" s="4"/>
      <x:c r="J62" s="1"/>
      <x:c r="K62" s="1"/>
      <x:c r="L62" s="1"/>
    </x:row>
    <x:row r="63" ht="22" customHeight="1">
      <x:c r="A63" s="1"/>
      <x:c r="B63" s="1"/>
      <x:c r="C63" s="1"/>
      <x:c r="D63" s="4"/>
      <x:c r="E63" s="4"/>
      <x:c r="F63" s="4"/>
      <x:c r="G63" s="4"/>
      <x:c r="H63" s="4"/>
      <x:c r="I63" s="4"/>
      <x:c r="J63" s="1"/>
      <x:c r="K63" s="1"/>
      <x:c r="L63" s="1"/>
    </x:row>
    <x:row r="64" ht="22" customHeight="1">
      <x:c r="A64" s="1"/>
      <x:c r="B64" s="1"/>
      <x:c r="C64" s="1"/>
      <x:c r="D64" s="4"/>
      <x:c r="E64" s="4"/>
      <x:c r="F64" s="4"/>
      <x:c r="G64" s="4"/>
      <x:c r="H64" s="4"/>
      <x:c r="I64" s="4"/>
      <x:c r="J64" s="1"/>
      <x:c r="K64" s="1"/>
      <x:c r="L64" s="1"/>
    </x:row>
    <x:row r="65" ht="22" customHeight="1">
      <x:c r="A65" s="1"/>
      <x:c r="B65" s="1"/>
      <x:c r="C65" s="1"/>
      <x:c r="D65" s="4"/>
      <x:c r="E65" s="4"/>
      <x:c r="F65" s="4"/>
      <x:c r="G65" s="4"/>
      <x:c r="H65" s="4"/>
      <x:c r="I65" s="4"/>
      <x:c r="J65" s="1"/>
      <x:c r="K65" s="1"/>
      <x:c r="L65" s="1"/>
    </x:row>
    <x:row r="66" ht="22" customHeight="1">
      <x:c r="A66" s="1"/>
      <x:c r="B66" s="1"/>
      <x:c r="C66" s="1"/>
      <x:c r="D66" s="4"/>
      <x:c r="E66" s="4"/>
      <x:c r="F66" s="4"/>
      <x:c r="G66" s="4"/>
      <x:c r="H66" s="4"/>
      <x:c r="I66" s="4"/>
      <x:c r="J66" s="1"/>
      <x:c r="K66" s="1"/>
      <x:c r="L66" s="1"/>
    </x:row>
    <x:row r="67" ht="22" customHeight="1">
      <x:c r="A67" s="1"/>
      <x:c r="B67" s="1"/>
      <x:c r="C67" s="1"/>
      <x:c r="D67" s="4"/>
      <x:c r="E67" s="4"/>
      <x:c r="F67" s="4"/>
      <x:c r="G67" s="4"/>
      <x:c r="H67" s="4"/>
      <x:c r="I67" s="4"/>
      <x:c r="J67" s="1"/>
      <x:c r="K67" s="1"/>
      <x:c r="L67" s="1"/>
    </x:row>
    <x:row r="68" ht="22" customHeight="1">
      <x:c r="A68" s="1"/>
      <x:c r="B68" s="1"/>
      <x:c r="C68" s="1"/>
      <x:c r="D68" s="4"/>
      <x:c r="E68" s="4"/>
      <x:c r="F68" s="4"/>
      <x:c r="G68" s="4"/>
      <x:c r="H68" s="4"/>
      <x:c r="I68" s="4"/>
      <x:c r="J68" s="1"/>
      <x:c r="K68" s="1"/>
      <x:c r="L68" s="1"/>
    </x:row>
    <x:row r="69" ht="22" customHeight="1">
      <x:c r="A69" s="1"/>
      <x:c r="B69" s="1"/>
      <x:c r="C69" s="1"/>
      <x:c r="D69" s="4"/>
      <x:c r="E69" s="4"/>
      <x:c r="F69" s="4"/>
      <x:c r="G69" s="4"/>
      <x:c r="H69" s="4"/>
      <x:c r="I69" s="4"/>
      <x:c r="J69" s="1"/>
      <x:c r="K69" s="1"/>
      <x:c r="L69" s="1"/>
    </x:row>
    <x:row r="70" ht="22" customHeight="1">
      <x:c r="A70" s="1"/>
      <x:c r="B70" s="1"/>
      <x:c r="C70" s="1"/>
      <x:c r="D70" s="4"/>
      <x:c r="E70" s="4"/>
      <x:c r="F70" s="4"/>
      <x:c r="G70" s="4"/>
      <x:c r="H70" s="4"/>
      <x:c r="I70" s="4"/>
      <x:c r="J70" s="1"/>
      <x:c r="K70" s="1"/>
      <x:c r="L70" s="1"/>
    </x:row>
    <x:row r="71" ht="22" customHeight="1">
      <x:c r="A71" s="1"/>
      <x:c r="B71" s="1"/>
      <x:c r="C71" s="1"/>
      <x:c r="D71" s="4"/>
      <x:c r="E71" s="4"/>
      <x:c r="F71" s="4"/>
      <x:c r="G71" s="4"/>
      <x:c r="H71" s="4"/>
      <x:c r="I71" s="4"/>
      <x:c r="J71" s="1"/>
      <x:c r="K71" s="1"/>
      <x:c r="L71" s="1"/>
    </x:row>
    <x:row r="72" ht="22" customHeight="1">
      <x:c r="A72" s="1"/>
      <x:c r="B72" s="1"/>
      <x:c r="C72" s="1"/>
      <x:c r="D72" s="4"/>
      <x:c r="E72" s="4"/>
      <x:c r="F72" s="4"/>
      <x:c r="G72" s="4"/>
      <x:c r="H72" s="4"/>
      <x:c r="I72" s="4"/>
      <x:c r="J72" s="1"/>
      <x:c r="K72" s="1"/>
      <x:c r="L72" s="1"/>
    </x:row>
    <x:row r="73" ht="22" customHeight="1">
      <x:c r="A73" s="1"/>
      <x:c r="B73" s="1"/>
      <x:c r="C73" s="1"/>
      <x:c r="D73" s="4"/>
      <x:c r="E73" s="4"/>
      <x:c r="F73" s="4"/>
      <x:c r="G73" s="4"/>
      <x:c r="H73" s="4"/>
      <x:c r="I73" s="4"/>
      <x:c r="J73" s="1"/>
      <x:c r="K73" s="1"/>
      <x:c r="L73" s="1"/>
    </x:row>
    <x:row r="74" ht="22" customHeight="1">
      <x:c r="A74" s="1"/>
      <x:c r="B74" s="1"/>
      <x:c r="C74" s="1"/>
      <x:c r="D74" s="4"/>
      <x:c r="E74" s="4"/>
      <x:c r="F74" s="4"/>
      <x:c r="G74" s="4"/>
      <x:c r="H74" s="4"/>
      <x:c r="I74" s="4"/>
      <x:c r="J74" s="1"/>
      <x:c r="K74" s="1"/>
      <x:c r="L74" s="1"/>
    </x:row>
    <x:row r="75" ht="22" customHeight="1">
      <x:c r="A75" s="1"/>
      <x:c r="B75" s="1"/>
      <x:c r="C75" s="1"/>
      <x:c r="D75" s="4"/>
      <x:c r="E75" s="4"/>
      <x:c r="F75" s="4"/>
      <x:c r="G75" s="4"/>
      <x:c r="H75" s="4"/>
      <x:c r="I75" s="4"/>
      <x:c r="J75" s="1"/>
      <x:c r="K75" s="1"/>
      <x:c r="L75" s="1"/>
    </x:row>
    <x:row r="76" ht="22" customHeight="1">
      <x:c r="A76" s="1"/>
      <x:c r="B76" s="1"/>
      <x:c r="C76" s="1"/>
      <x:c r="D76" s="4"/>
      <x:c r="E76" s="4"/>
      <x:c r="F76" s="4"/>
      <x:c r="G76" s="4"/>
      <x:c r="H76" s="4"/>
      <x:c r="I76" s="4"/>
      <x:c r="J76" s="1"/>
      <x:c r="K76" s="1"/>
      <x:c r="L76" s="1"/>
    </x:row>
    <x:row r="77" ht="22" customHeight="1">
      <x:c r="A77" s="1"/>
      <x:c r="B77" s="1"/>
      <x:c r="C77" s="1"/>
      <x:c r="D77" s="4"/>
      <x:c r="E77" s="4"/>
      <x:c r="F77" s="4"/>
      <x:c r="G77" s="4"/>
      <x:c r="H77" s="4"/>
      <x:c r="I77" s="4"/>
      <x:c r="J77" s="1"/>
      <x:c r="K77" s="1"/>
      <x:c r="L77" s="1"/>
    </x:row>
    <x:row r="78" ht="22" customHeight="1">
      <x:c r="A78" s="1"/>
      <x:c r="B78" s="1"/>
      <x:c r="C78" s="1"/>
      <x:c r="D78" s="4"/>
      <x:c r="E78" s="4"/>
      <x:c r="F78" s="4"/>
      <x:c r="G78" s="4"/>
      <x:c r="H78" s="4"/>
      <x:c r="I78" s="4"/>
      <x:c r="J78" s="1"/>
      <x:c r="K78" s="1"/>
      <x:c r="L78" s="1"/>
    </x:row>
    <x:row r="79" ht="22" customHeight="1">
      <x:c r="A79" s="1"/>
      <x:c r="B79" s="1"/>
      <x:c r="C79" s="1"/>
      <x:c r="D79" s="4"/>
      <x:c r="E79" s="4"/>
      <x:c r="F79" s="4"/>
      <x:c r="G79" s="4"/>
      <x:c r="H79" s="4"/>
      <x:c r="I79" s="4"/>
      <x:c r="J79" s="1"/>
      <x:c r="K79" s="1"/>
      <x:c r="L79" s="1"/>
    </x:row>
    <x:row r="80" ht="22" customHeight="1">
      <x:c r="A80" s="1"/>
      <x:c r="B80" s="1"/>
      <x:c r="C80" s="1"/>
      <x:c r="D80" s="4"/>
      <x:c r="E80" s="4"/>
      <x:c r="F80" s="4"/>
      <x:c r="G80" s="4"/>
      <x:c r="H80" s="4"/>
      <x:c r="I80" s="4"/>
      <x:c r="J80" s="1"/>
      <x:c r="K80" s="1"/>
      <x:c r="L80" s="1"/>
    </x:row>
    <x:row r="81" ht="22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</x:row>
    <x:row r="82" ht="22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</x:row>
    <x:row r="83" ht="22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</x:row>
    <x:row r="84" ht="22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</x:row>
    <x:row r="85" ht="22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</x:row>
  </x:sheetData>
  <x:pageMargins left="0.7" right="0.7" top="0.75" bottom="0.75" header="0.3" footer="0.3"/>
</x:worksheet>
</file>